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LFH" sheetId="2" r:id="rId6"/>
    <sheet state="visible" name="Frag-Filt" sheetId="3" r:id="rId7"/>
    <sheet state="visible" name="Ulva" sheetId="4" r:id="rId8"/>
    <sheet state="visible" name="DTE" sheetId="5" r:id="rId9"/>
    <sheet state="visible" name="384Assay" sheetId="6" r:id="rId10"/>
    <sheet state="visible" name="Imaging" sheetId="7" r:id="rId11"/>
    <sheet state="visible" name="EOSRP-D1" sheetId="8" r:id="rId12"/>
    <sheet state="visible" name="IX81" sheetId="9" r:id="rId13"/>
    <sheet state="visible" name="Harvest" sheetId="10" r:id="rId14"/>
    <sheet state="visible" name="Refresh" sheetId="11" r:id="rId15"/>
    <sheet state="visible" name="LabKit" sheetId="12" r:id="rId16"/>
    <sheet state="visible" name="Rprocess" sheetId="13" r:id="rId17"/>
    <sheet state="visible" name="scripts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tc={1490f60f-8311-498c-bae7-9278910431ca}</author>
    <author>tc={a670446a-316e-4bc0-8615-f0b2119959e6}</author>
    <author>tc={fc4f2bb8-c9f0-4c2e-b9d0-454c3ddf97c2}</author>
  </authors>
  <commentList>
    <comment authorId="0" xr:uid="{1490f60f-8311-498c-bae7-9278910431ca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times maybe?
</t>
      </text>
    </comment>
    <comment authorId="1" xr:uid="{a670446a-316e-4bc0-8615-f0b2119959e6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500μl of WB?
Reply:
	vortex, centrifuge, discard, add 500μl and then the beads
</t>
      </text>
    </comment>
    <comment authorId="2" xr:uid="{fc4f2bb8-c9f0-4c2e-b9d0-454c3ddf97c2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we have the plates at 18oC
</t>
      </text>
    </comment>
  </commentList>
</comments>
</file>

<file path=xl/sharedStrings.xml><?xml version="1.0" encoding="utf-8"?>
<sst xmlns="http://schemas.openxmlformats.org/spreadsheetml/2006/main" count="587" uniqueCount="431">
  <si>
    <t>Material Needed</t>
  </si>
  <si>
    <t>Laminar flow hood</t>
  </si>
  <si>
    <r>
      <rPr/>
      <t xml:space="preserve">384WP </t>
    </r>
    <r>
      <rPr>
        <b/>
        <color rgb="FF1155CC"/>
        <u/>
      </rPr>
      <t>Silicone Sealing Mats (SSM)</t>
    </r>
  </si>
  <si>
    <t>Tissue-lyser and cold 2x24 tube rack</t>
  </si>
  <si>
    <t>Wide-bore 1ml tips</t>
  </si>
  <si>
    <t>4°C centrifuge for microtube and plate rotors</t>
  </si>
  <si>
    <t>15 and 50ml falcon tubes</t>
  </si>
  <si>
    <r>
      <rPr>
        <rFont val="Arial"/>
        <b/>
        <color rgb="FF1155CC"/>
        <u/>
      </rPr>
      <t>AxioObserver.D1</t>
    </r>
    <r>
      <rPr>
        <rFont val="Arial"/>
        <b/>
      </rPr>
      <t xml:space="preserve"> and </t>
    </r>
    <r>
      <rPr>
        <rFont val="Arial"/>
        <b/>
        <color rgb="FF1155CC"/>
        <u/>
      </rPr>
      <t>IX81 Olympus</t>
    </r>
    <r>
      <rPr>
        <rFont val="Arial"/>
        <b/>
      </rPr>
      <t xml:space="preserve"> microscopes</t>
    </r>
  </si>
  <si>
    <t>Inocullation loops</t>
  </si>
  <si>
    <t>CANON EOSRP. RF-M42 ring and T2-60N adapters</t>
  </si>
  <si>
    <r>
      <rPr>
        <rFont val="Arial"/>
        <b/>
        <color rgb="FF1155CC"/>
        <u/>
      </rPr>
      <t>20um</t>
    </r>
    <r>
      <rPr>
        <rFont val="Arial"/>
        <b/>
      </rPr>
      <t xml:space="preserve"> and </t>
    </r>
    <r>
      <rPr>
        <rFont val="Arial"/>
        <b/>
        <color rgb="FF1155CC"/>
        <u/>
      </rPr>
      <t>40um</t>
    </r>
    <r>
      <rPr>
        <rFont val="Arial"/>
        <b/>
      </rPr>
      <t xml:space="preserve"> cell strainers</t>
    </r>
  </si>
  <si>
    <t>Light incubator. Zip seal bags (min 14x18cm)</t>
  </si>
  <si>
    <t>Sterile tungsten carbide beads (3mm)</t>
  </si>
  <si>
    <r>
      <rPr>
        <rFont val="Arial"/>
        <b/>
        <color rgb="FF1155CC"/>
        <u/>
      </rPr>
      <t>Artificial Sea Water</t>
    </r>
    <r>
      <rPr>
        <rFont val="Arial"/>
        <b/>
      </rPr>
      <t xml:space="preserve"> (ASW) 30%</t>
    </r>
  </si>
  <si>
    <t xml:space="preserve"> Neodimium Magnet</t>
  </si>
  <si>
    <t>PES (Provasoli Enrichment Solution)</t>
  </si>
  <si>
    <t>BSA 1%</t>
  </si>
  <si>
    <t>P300 8C and 12C MultiChannel Pipettes</t>
  </si>
  <si>
    <t>PC and Flashdrive</t>
  </si>
  <si>
    <t>Multipipette sterile reservoirs</t>
  </si>
  <si>
    <t>FIJI (imageJ 2) software</t>
  </si>
  <si>
    <t>P200-P1000 pipettes</t>
  </si>
  <si>
    <t xml:space="preserve">Parafilm, IcePack, EtOH 70% </t>
  </si>
  <si>
    <t>2ml "U" and "V" bottom tubes.</t>
  </si>
  <si>
    <t>Liquid and tip discard</t>
  </si>
  <si>
    <t>384 TC treated plates</t>
  </si>
  <si>
    <t>Laboratory tray</t>
  </si>
  <si>
    <t>SAMMBA: Seaweed Automatable Microplate Microscopy for Breeding Approaches</t>
  </si>
  <si>
    <t>references</t>
  </si>
  <si>
    <t>This protocol is an adaptation and miniaturization of previous published methods</t>
  </si>
  <si>
    <r>
      <rPr>
        <rFont val="Arial"/>
        <color rgb="FF1155CC"/>
        <sz val="10.0"/>
        <u/>
      </rPr>
      <t>Redmond, 2014;</t>
    </r>
    <r>
      <rPr>
        <rFont val="Arial"/>
        <color rgb="FF000000"/>
        <sz val="10.0"/>
      </rPr>
      <t xml:space="preserve"> </t>
    </r>
    <r>
      <rPr>
        <rFont val="Arial"/>
        <color rgb="FF1155CC"/>
        <sz val="10.0"/>
        <u/>
      </rPr>
      <t>Bartsch, 2018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Kawai, 2005</t>
    </r>
  </si>
  <si>
    <t>Always wear proper personal protective equipment (PPE), including a lab coat and gloves.</t>
  </si>
  <si>
    <t>Laminar-flow sterile hood are recommended to decrease bacterial contamination</t>
  </si>
  <si>
    <t>Auld, 2020</t>
  </si>
  <si>
    <t>Avoid transporting the plates directly in your hands. The heat from your hands can stress the algae. Use a tray.</t>
  </si>
  <si>
    <t>384 well plates (3.65 mm² by well) require low gametophyte biomass and allow high-throughput phenotyping (HTP) by imaging.</t>
  </si>
  <si>
    <t>384WP wells fit up to 100ul, which reduces image vignetting due to meniscus shading in bright field.</t>
  </si>
  <si>
    <t>For growth curves &lt; 40 days, 100ul filled wells can be used without signifficant salinity change</t>
  </si>
  <si>
    <r>
      <rPr>
        <rFont val="Arial"/>
        <sz val="10.0"/>
      </rPr>
      <t xml:space="preserve">To use </t>
    </r>
    <r>
      <rPr>
        <rFont val="Arial"/>
        <color rgb="FF1155CC"/>
        <sz val="10.0"/>
        <u/>
      </rPr>
      <t>silicone seal mats</t>
    </r>
    <r>
      <rPr>
        <rFont val="Arial"/>
        <sz val="10.0"/>
      </rPr>
      <t>, recommended volume is 50ul and 100ul in Deep Well 384WP</t>
    </r>
  </si>
  <si>
    <t>Edge effect may still be present but can be reduced by humidity controlled chambers and/or the use of Ziploc bags</t>
  </si>
  <si>
    <t>Huang, 2023</t>
  </si>
  <si>
    <t>For deep well 384WP filled up to 100 ul with SSMs, salinity increases 25% in 4 months</t>
  </si>
  <si>
    <t>ASW and PES are stored separately to minimize the risk of contamination. PES aliquot to make PEAS is 20 ul/ml</t>
  </si>
  <si>
    <r>
      <rPr>
        <rFont val="Arial"/>
        <b/>
        <color theme="1"/>
        <sz val="10.0"/>
      </rPr>
      <t>PEAS</t>
    </r>
    <r>
      <rPr>
        <rFont val="Arial"/>
        <color theme="1"/>
        <sz val="10.0"/>
      </rPr>
      <t xml:space="preserve"> = Provasoli-Enriched Artificial Seawater: ASW + PES</t>
    </r>
  </si>
  <si>
    <r>
      <rPr>
        <rFont val="Arial"/>
        <sz val="10.0"/>
      </rPr>
      <t>For long-term storage, both DW384WP or 384WP can be used with SSM, but media renewal (</t>
    </r>
    <r>
      <rPr>
        <rFont val="Arial"/>
        <color rgb="FF1155CC"/>
        <sz val="10.0"/>
        <u/>
      </rPr>
      <t>Refresh</t>
    </r>
    <r>
      <rPr>
        <rFont val="Arial"/>
        <sz val="10.0"/>
      </rPr>
      <t>) routine is recommended.</t>
    </r>
  </si>
  <si>
    <t>Media renewal can be made by removing 50ul, then adding of 2xPEAS, also adjusting salinity</t>
  </si>
  <si>
    <t>Multiple tests can be quickly prepared using multichannel pipettes and tissue-lyser grinding</t>
  </si>
  <si>
    <t>Reproducible pipetting is obtained by washing and filtering gametophytes before plating and fragmenting.</t>
  </si>
  <si>
    <t>Washing gametophytes with ASW enhances fragmentation as exudated polysaccharides increase media viscosity</t>
  </si>
  <si>
    <r>
      <rPr>
        <rFont val="Arial"/>
        <color rgb="FF1155CC"/>
        <sz val="10.0"/>
        <u/>
      </rPr>
      <t>Deniaud-Bouet, 2014</t>
    </r>
    <r>
      <rPr>
        <rFont val="Arial"/>
        <sz val="10.0"/>
      </rPr>
      <t xml:space="preserve"> ; </t>
    </r>
    <r>
      <rPr>
        <rFont val="Arial"/>
        <color rgb="FF1155CC"/>
        <sz val="10.0"/>
        <u/>
      </rPr>
      <t>Mazeas, 2023</t>
    </r>
  </si>
  <si>
    <t>ASW washing also enhances centrifugation</t>
  </si>
  <si>
    <t>Kylin, 1913</t>
  </si>
  <si>
    <t>Add 0.1% BSA to ASW to minimize attachment to plastics and clumping, Must be removed afterwards by washing with ASW</t>
  </si>
  <si>
    <t>Sequential sieving reduces fragment size variation: strainers of 40μm and 20μm mesh can be mounted for single step sieving.</t>
  </si>
  <si>
    <r>
      <rPr>
        <rFont val="Arial"/>
        <b/>
        <color theme="1"/>
        <sz val="10.0"/>
      </rPr>
      <t xml:space="preserve">40 μm </t>
    </r>
    <r>
      <rPr>
        <rFont val="Arial"/>
        <color theme="1"/>
        <sz val="10.0"/>
      </rPr>
      <t>retains large gametophyte fragments, which are suboptimal for imaging and contribute to increased variability during pipetting.</t>
    </r>
  </si>
  <si>
    <r>
      <rPr>
        <rFont val="Arial"/>
        <b/>
        <color theme="1"/>
        <sz val="10.0"/>
      </rPr>
      <t>20μm</t>
    </r>
    <r>
      <rPr>
        <rFont val="Arial"/>
        <color theme="1"/>
        <sz val="10.0"/>
      </rPr>
      <t xml:space="preserve"> filtrate contains small cells, cell debris and contaminants.</t>
    </r>
  </si>
  <si>
    <r>
      <rPr>
        <rFont val="Arial"/>
        <color theme="1"/>
        <sz val="10.0"/>
      </rPr>
      <t>The 40μm recovered (</t>
    </r>
    <r>
      <rPr>
        <rFont val="Arial"/>
        <b/>
        <color theme="1"/>
        <sz val="10.0"/>
      </rPr>
      <t>R40</t>
    </r>
    <r>
      <rPr>
        <rFont val="Arial"/>
        <color theme="1"/>
        <sz val="10.0"/>
      </rPr>
      <t>) biomass from basket can be used for other applications.</t>
    </r>
  </si>
  <si>
    <r>
      <rPr>
        <rFont val="Arial"/>
        <color theme="1"/>
        <sz val="10.0"/>
      </rPr>
      <t>The 20μm filtrate (</t>
    </r>
    <r>
      <rPr>
        <rFont val="Arial"/>
        <b/>
        <color theme="1"/>
        <sz val="10.0"/>
      </rPr>
      <t>F20)</t>
    </r>
    <r>
      <rPr>
        <rFont val="Arial"/>
        <color theme="1"/>
        <sz val="10.0"/>
      </rPr>
      <t xml:space="preserve"> may contain spores and chloroplasts</t>
    </r>
  </si>
  <si>
    <r>
      <rPr>
        <rFont val="Arial"/>
        <color theme="1"/>
        <sz val="10.0"/>
      </rPr>
      <t>The sequential filtrate (</t>
    </r>
    <r>
      <rPr>
        <rFont val="Arial"/>
        <b/>
        <color theme="1"/>
        <sz val="10.0"/>
      </rPr>
      <t>20F40</t>
    </r>
    <r>
      <rPr>
        <rFont val="Arial"/>
        <color theme="1"/>
        <sz val="10.0"/>
      </rPr>
      <t xml:space="preserve">) is </t>
    </r>
    <r>
      <rPr>
        <rFont val="Arial"/>
        <b/>
        <color rgb="FFFF0000"/>
        <sz val="10.0"/>
      </rPr>
      <t>20μm &lt; "F" &lt; 40μm</t>
    </r>
    <r>
      <rPr>
        <rFont val="Arial"/>
        <color theme="1"/>
        <sz val="10.0"/>
      </rPr>
      <t xml:space="preserve">. </t>
    </r>
  </si>
  <si>
    <t>Some gametophytes may die 3 days after processing. Chlorophyll fluorescence can be detected in non-viable cells.</t>
  </si>
  <si>
    <t>Plate centrifugation causes accumulation of suspended gametophyte on well edges. Wait 15min before centrifugation</t>
  </si>
  <si>
    <t>Check microscope manual to understand better the camera assemblings</t>
  </si>
  <si>
    <t>Avoid fragmenting chlorotic (pale) gametophytes. Renew mediaat least 1 week before fragmentation.</t>
  </si>
  <si>
    <t>Multichannel tips can be unaligned causing pipetting in wrong wells. Test the multichannel alignment before.</t>
  </si>
  <si>
    <t>Laminar Flow Hood Operation</t>
  </si>
  <si>
    <t>Material and Equipment needed</t>
  </si>
  <si>
    <r>
      <rPr>
        <rFont val="arial, sans, sans-serif"/>
        <color theme="1"/>
      </rPr>
      <t>Cooled centrifuge | Laminar Flow Hood (</t>
    </r>
    <r>
      <rPr>
        <rFont val="arial, sans, sans-serif"/>
        <color rgb="FFFF0000"/>
      </rPr>
      <t>LFH</t>
    </r>
    <r>
      <rPr>
        <rFont val="arial, sans, sans-serif"/>
        <color theme="1"/>
      </rPr>
      <t>) | 70% Ethanol | Paper towel</t>
    </r>
  </si>
  <si>
    <t>50ml tube rack | 2 ml tube rack | Liquid thrash | Tip thrash | Parafilm | 2 ml U-bottom tubes (Utubes)</t>
  </si>
  <si>
    <t xml:space="preserve">1.5 ml tubes | P200-P1000 (multichannel)pipettes | Parafilm strips |  Petri dish | Inocullation loop </t>
  </si>
  <si>
    <t xml:space="preserve">Cell strainers (20 and 40 μm) | Tweezer, Scalpel, Razor Blade | 1000 μl wide-bore filter tips </t>
  </si>
  <si>
    <t>Steps</t>
  </si>
  <si>
    <t>L: Laminar Flow Hood</t>
  </si>
  <si>
    <t>time(min)</t>
  </si>
  <si>
    <t>L</t>
  </si>
  <si>
    <t xml:space="preserve">Change centrifuge rotor to the specific protocol you will perform                                                </t>
  </si>
  <si>
    <t>Turn the centrifuge on and pre-cool it to 4C</t>
  </si>
  <si>
    <r>
      <rPr>
        <rFont val="Arial"/>
        <color theme="1"/>
      </rPr>
      <t xml:space="preserve">Wipe the </t>
    </r>
    <r>
      <rPr>
        <rFont val="Arial"/>
        <b/>
        <color theme="1"/>
      </rPr>
      <t>LFH</t>
    </r>
    <r>
      <rPr>
        <rFont val="Arial"/>
        <color theme="1"/>
      </rPr>
      <t xml:space="preserve"> surfaces with 70% Ethanol and paper towel</t>
    </r>
  </si>
  <si>
    <r>
      <rPr>
        <rFont val="Arial"/>
        <color theme="1"/>
      </rPr>
      <t xml:space="preserve">Turn the </t>
    </r>
    <r>
      <rPr>
        <rFont val="Arial"/>
        <b/>
        <color theme="1"/>
      </rPr>
      <t>LFH</t>
    </r>
    <r>
      <rPr>
        <rFont val="Arial"/>
        <color theme="1"/>
      </rPr>
      <t xml:space="preserve"> on. Put all plastics and dry equipments inside. Spray all surfaces with EtOH 70%</t>
    </r>
  </si>
  <si>
    <t>Remove all aluminum foil and open all tips cases</t>
  </si>
  <si>
    <t>Turn UV light on for 15 min. Put a safety warning if needed</t>
  </si>
  <si>
    <t>Turn off UV light. Wait 5 min to ozone disperse.</t>
  </si>
  <si>
    <t>total</t>
  </si>
  <si>
    <t>Gametophyte harvesting, fragmetation and filtration - T75 culture flasks and 100ml test tubes</t>
  </si>
  <si>
    <r>
      <rPr>
        <rFont val="arial, sans, sans-serif"/>
        <color theme="1"/>
      </rPr>
      <t>Cooled centrifuge | Laminar Flow Hood (</t>
    </r>
    <r>
      <rPr>
        <rFont val="arial, sans, sans-serif"/>
        <color rgb="FFFF0000"/>
      </rPr>
      <t>LFH</t>
    </r>
    <r>
      <rPr>
        <rFont val="arial, sans, sans-serif"/>
        <color theme="1"/>
      </rPr>
      <t xml:space="preserve">) | 70% Ethanol | Paper towel | Artificial SeaWater 30% (ASW) </t>
    </r>
  </si>
  <si>
    <t>50ml tube rack | 2ml tube rack | Liquid thrash | Tip thrash | Parafilm | 2m U-bottom tubes (Utubes)</t>
  </si>
  <si>
    <t>1.5ml tubes | P20-P1000 pipettes | Parafilm strips |  Petri dish | Inocullation loop | 100 ml test tubes</t>
  </si>
  <si>
    <r>
      <rPr>
        <rFont val="arial"/>
        <b/>
        <color rgb="FF000000"/>
      </rPr>
      <t xml:space="preserve">Cell strainers (20 or 40um) | Tweezer, Scalpel, Razor Blade | 1000 ul wide-bore filter tips | </t>
    </r>
    <r>
      <rPr>
        <rFont val="arial"/>
        <b val="0"/>
        <color rgb="FF000000"/>
      </rPr>
      <t>BSA 0.1%</t>
    </r>
  </si>
  <si>
    <r>
      <rPr>
        <rFont val="arial, sans, sans-serif"/>
        <b/>
        <color theme="1"/>
      </rPr>
      <t>Cold TissueLyser Racks | 3mm Tungsten-Carbide Beads</t>
    </r>
    <r>
      <rPr>
        <rFont val="arial, sans, sans-serif"/>
        <color theme="1"/>
      </rPr>
      <t xml:space="preserve"> (</t>
    </r>
    <r>
      <rPr>
        <rFont val="arial, sans, sans-serif"/>
        <b/>
        <color rgb="FFFF0000"/>
      </rPr>
      <t>TCB</t>
    </r>
    <r>
      <rPr>
        <rFont val="arial, sans, sans-serif"/>
        <color theme="1"/>
      </rPr>
      <t xml:space="preserve">) | </t>
    </r>
    <r>
      <rPr>
        <rFont val="arial, sans, sans-serif"/>
        <b/>
        <color theme="1"/>
      </rPr>
      <t>2m V-bottom tubes (Vtubes)</t>
    </r>
  </si>
  <si>
    <t>PES (Provasoli Enrichment Solution) | Neodimium magnets | Marker | Kim wipes | Vortex</t>
  </si>
  <si>
    <t>L: Laminar Flow Hood | S: Sampling | W: Washing | G: Grinding | F: Filtration | C: Counting</t>
  </si>
  <si>
    <t>time (min)</t>
  </si>
  <si>
    <t>G</t>
  </si>
  <si>
    <t>Put tissuelyser racks at -20C</t>
  </si>
  <si>
    <r>
      <rPr/>
      <t xml:space="preserve">Proceed with </t>
    </r>
    <r>
      <rPr>
        <color rgb="FF1155CC"/>
        <u/>
      </rPr>
      <t>LFH</t>
    </r>
    <r>
      <rPr/>
      <t xml:space="preserve"> protocol                                                </t>
    </r>
  </si>
  <si>
    <t>F</t>
  </si>
  <si>
    <r>
      <rPr>
        <rFont val="Arial"/>
        <color rgb="FF000000"/>
        <sz val="10.0"/>
      </rPr>
      <t>Identify 1 set of Utubes and 1 set of Vtubes (</t>
    </r>
    <r>
      <rPr>
        <rFont val="Arial"/>
        <b/>
        <color rgb="FF000000"/>
        <sz val="10.0"/>
      </rPr>
      <t xml:space="preserve">F20) </t>
    </r>
    <r>
      <rPr>
        <rFont val="Arial"/>
        <color rgb="FF000000"/>
        <sz val="10.0"/>
      </rPr>
      <t>per sample.</t>
    </r>
  </si>
  <si>
    <t>S</t>
  </si>
  <si>
    <r>
      <rPr>
        <rFont val="Arial"/>
        <color rgb="FF000000"/>
        <sz val="10.0"/>
      </rPr>
      <t xml:space="preserve">Certify that cultures </t>
    </r>
    <r>
      <rPr>
        <rFont val="Arial"/>
        <b/>
        <color rgb="FF000000"/>
        <sz val="10.0"/>
      </rPr>
      <t>PEAS</t>
    </r>
    <r>
      <rPr>
        <rFont val="Arial"/>
        <color rgb="FF000000"/>
        <sz val="10.0"/>
      </rPr>
      <t xml:space="preserve"> has been recently refreshed</t>
    </r>
  </si>
  <si>
    <t xml:space="preserve">Choose healthy and dense tufts without chlorosis (pale color).                                                </t>
  </si>
  <si>
    <t>If tufts are in T75 culture flasks, proceed with steps 8 to 10</t>
  </si>
  <si>
    <t>If tufts are in test tubes, proceed with steps 11 to 16</t>
  </si>
  <si>
    <t>Detach gametophytes with cell scraper for maximum biomass recovery.</t>
  </si>
  <si>
    <t>Use wide-bore tips to transfer 2 mm tufts to U-bottom 2 ml tubes</t>
  </si>
  <si>
    <t>Wipe the pipette body with ethanol before switching to a different strain.</t>
  </si>
  <si>
    <t>For test tubes, discard media, transfer tuft with loop to a petri dish with ASW</t>
  </si>
  <si>
    <t>Cut a 2 mm segment of the tuft and transfer to a 2 ml Utube with 1 ml of ASW</t>
  </si>
  <si>
    <t>Return the remaining tuft to a new tube and add 80 mL of PEAS.</t>
  </si>
  <si>
    <t>Dry the rim of the tube with kim wipes</t>
  </si>
  <si>
    <t>Seal the tube with parafilm and mark the current date on the tube.</t>
  </si>
  <si>
    <t>Discard loop and petri dish. Repeat for other strains.</t>
  </si>
  <si>
    <t>W</t>
  </si>
  <si>
    <t>Centrifuge Utubes for 2 min at 5000g and 4ºC.</t>
  </si>
  <si>
    <t>Remove supernatant with pipette</t>
  </si>
  <si>
    <r>
      <rPr>
        <rFont val="Arial"/>
        <color rgb="FF000000"/>
        <sz val="10.0"/>
      </rPr>
      <t xml:space="preserve">Add 100 ul of </t>
    </r>
    <r>
      <rPr>
        <rFont val="Arial"/>
        <b/>
        <color rgb="FF000000"/>
        <sz val="10.0"/>
      </rPr>
      <t>BSA</t>
    </r>
    <r>
      <rPr>
        <rFont val="Arial"/>
        <color rgb="FF000000"/>
        <sz val="10.0"/>
      </rPr>
      <t xml:space="preserve"> to 50 ml of ASW. This is the </t>
    </r>
    <r>
      <rPr>
        <rFont val="Arial"/>
        <b/>
        <color rgb="FF000000"/>
        <sz val="10.0"/>
      </rPr>
      <t>Washing Buffer (WB)</t>
    </r>
  </si>
  <si>
    <r>
      <rPr>
        <rFont val="Arial"/>
        <color rgb="FF000000"/>
      </rPr>
      <t xml:space="preserve">Add 1 ml </t>
    </r>
    <r>
      <rPr>
        <rFont val="Arial"/>
        <b/>
        <color rgb="FF000000"/>
      </rPr>
      <t>WB</t>
    </r>
    <r>
      <rPr>
        <rFont val="Arial"/>
        <color rgb="FF000000"/>
      </rPr>
      <t xml:space="preserve"> to 2 ml Utubes. Vortex 5s.                                           </t>
    </r>
  </si>
  <si>
    <t xml:space="preserve">Centrifuge Utubes for 2 min at 5000 g and 4ºC. </t>
  </si>
  <si>
    <r>
      <rPr>
        <rFont val="Arial"/>
        <color rgb="FF000000"/>
      </rPr>
      <t xml:space="preserve">Add 1 ml </t>
    </r>
    <r>
      <rPr>
        <rFont val="Arial"/>
        <b/>
        <color rgb="FF000000"/>
      </rPr>
      <t>WB</t>
    </r>
    <r>
      <rPr>
        <rFont val="Arial"/>
        <color rgb="FF000000"/>
      </rPr>
      <t xml:space="preserve"> to 2 ml Utubes. Vortex 5s.                                            </t>
    </r>
  </si>
  <si>
    <r>
      <rPr>
        <rFont val="Arial"/>
        <color rgb="FF000000"/>
        <sz val="10.0"/>
      </rPr>
      <t xml:space="preserve">Add one </t>
    </r>
    <r>
      <rPr>
        <rFont val="Arial"/>
        <b/>
        <color rgb="FF000000"/>
        <sz val="10.0"/>
      </rPr>
      <t>TCB</t>
    </r>
    <r>
      <rPr>
        <rFont val="Arial"/>
        <color rgb="FF000000"/>
        <sz val="10.0"/>
      </rPr>
      <t xml:space="preserve"> with tweezer and place tubes in cold tissue-lyser rack</t>
    </r>
  </si>
  <si>
    <t>Agitate for 4 min at 30Hz.</t>
  </si>
  <si>
    <t>Remove beads with neodimium magnet, wash it with EtOH 70%.</t>
  </si>
  <si>
    <t>Repeat steps 21-23 3x to remove cell debris.</t>
  </si>
  <si>
    <r>
      <rPr>
        <rFont val="Arial"/>
        <color rgb="FF000000"/>
        <sz val="10.0"/>
      </rPr>
      <t xml:space="preserve">Mount 40 μm filter(green) or 20 μm filter(red) on </t>
    </r>
    <r>
      <rPr>
        <rFont val="Arial"/>
        <b/>
        <color rgb="FF000000"/>
        <sz val="10.0"/>
      </rPr>
      <t>F20 or F40</t>
    </r>
    <r>
      <rPr>
        <rFont val="Arial"/>
        <color rgb="FF000000"/>
        <sz val="10.0"/>
      </rPr>
      <t xml:space="preserve"> tubes</t>
    </r>
  </si>
  <si>
    <t>Pipete fragmented tissue solution into filter mount</t>
  </si>
  <si>
    <t>Add 1 ml WB to filter mount</t>
  </si>
  <si>
    <t>Remove filter mount from tube and transfer back to previous tubes</t>
  </si>
  <si>
    <t>Remove filter basket, invert and put it back on its frame. Dont touch sieve.</t>
  </si>
  <si>
    <r>
      <rPr>
        <rFont val="Arial"/>
        <color rgb="FF000000"/>
        <sz val="10.0"/>
      </rPr>
      <t xml:space="preserve">Pipet 1ml of </t>
    </r>
    <r>
      <rPr>
        <rFont val="Arial"/>
        <b/>
        <color rgb="FF000000"/>
        <sz val="10.0"/>
      </rPr>
      <t>WB</t>
    </r>
    <r>
      <rPr>
        <rFont val="Arial"/>
        <color rgb="FF000000"/>
        <sz val="10.0"/>
      </rPr>
      <t xml:space="preserve"> directly on filter bottom to get </t>
    </r>
    <r>
      <rPr>
        <rFont val="Arial"/>
        <b/>
        <color rgb="FF000000"/>
        <sz val="10.0"/>
      </rPr>
      <t>unfiltered</t>
    </r>
    <r>
      <rPr>
        <rFont val="Arial"/>
        <color rgb="FF000000"/>
        <sz val="10.0"/>
      </rPr>
      <t xml:space="preserve"> gametophytes</t>
    </r>
  </si>
  <si>
    <r>
      <rPr>
        <rFont val="Arial"/>
        <color rgb="FF000000"/>
        <sz val="10.0"/>
      </rPr>
      <t>If needed, mount one filter over another to get a 20 to 40 size interval (</t>
    </r>
    <r>
      <rPr>
        <rFont val="Arial"/>
        <b/>
        <color rgb="FF000000"/>
        <sz val="10.0"/>
      </rPr>
      <t>20F40</t>
    </r>
    <r>
      <rPr>
        <rFont val="Arial"/>
        <color rgb="FF000000"/>
        <sz val="10.0"/>
      </rPr>
      <t>)</t>
    </r>
  </si>
  <si>
    <t>C</t>
  </si>
  <si>
    <t>Dilute filtrate 10x with ASW in a new tube.</t>
  </si>
  <si>
    <r>
      <rPr>
        <rFont val="Arial"/>
        <color rgb="FF000000"/>
        <sz val="10.0"/>
      </rPr>
      <t xml:space="preserve">Pipette 100ul of diluted </t>
    </r>
    <r>
      <rPr>
        <rFont val="Arial"/>
        <b/>
        <color rgb="FF000000"/>
        <sz val="10.0"/>
      </rPr>
      <t xml:space="preserve">filtrate </t>
    </r>
    <r>
      <rPr>
        <rFont val="Arial"/>
        <color rgb="FF000000"/>
        <sz val="10.0"/>
      </rPr>
      <t>into 384WP wells</t>
    </r>
  </si>
  <si>
    <r>
      <rPr>
        <rFont val="Arial"/>
        <color rgb="FF000000"/>
        <sz val="10.0"/>
      </rPr>
      <t xml:space="preserve">Proceed to </t>
    </r>
    <r>
      <rPr>
        <rFont val="Arial"/>
        <color rgb="FF1155CC"/>
        <sz val="10.0"/>
        <u/>
      </rPr>
      <t>imaging</t>
    </r>
    <r>
      <rPr>
        <rFont val="Arial"/>
        <color rgb="FF000000"/>
        <sz val="10.0"/>
      </rPr>
      <t xml:space="preserve"> protocol  and determine the gametophyte density</t>
    </r>
  </si>
  <si>
    <r>
      <rPr>
        <rFont val="Arial"/>
        <color rgb="FF000000"/>
      </rPr>
      <t xml:space="preserve">Dilute it to 500 gametophytes/ml with PEAS for </t>
    </r>
    <r>
      <rPr>
        <rFont val="Arial"/>
        <color rgb="FF1155CC"/>
        <u/>
      </rPr>
      <t>generic assays</t>
    </r>
  </si>
  <si>
    <t>Total time</t>
  </si>
  <si>
    <t>Ulva gametogenesis induction by fragmentation</t>
  </si>
  <si>
    <t>Material needed</t>
  </si>
  <si>
    <t>Laminar Flow Hood (LFH) | 50ml tube rack | tube rack | Ultrapure H2O (H2OUP)  | Vortex | Petri Dish | Paint brush | Tweezers |</t>
  </si>
  <si>
    <t xml:space="preserve">Tungsten Carbide Beads | TissueLyser and cold (-20ºC) tube racks | Neodimium magnet | 70% Ethanol | Cooled centrifuge | </t>
  </si>
  <si>
    <t xml:space="preserve"> Filtered Artificial Sea Water (ASW) | 384WP |  Kim wipes | Liquid thrash | Tip thrash | P20-P1000 pipettes and filter tips </t>
  </si>
  <si>
    <t xml:space="preserve"> Parafilm |  Inverted microscope |  Paper towel | Filtered PEAS | Parafilm | Tube marker |  Scalpel + Razor Blade | U-bottom 2ml tubes (Utubes)</t>
  </si>
  <si>
    <t>L: Laminar flow | D: Decontamination | F: Fragmentation | Post-processing: PP</t>
  </si>
  <si>
    <t>time</t>
  </si>
  <si>
    <r>
      <rPr/>
      <t xml:space="preserve">Proceed with </t>
    </r>
    <r>
      <rPr>
        <color rgb="FF1155CC"/>
        <u/>
      </rPr>
      <t>LFH</t>
    </r>
    <r>
      <rPr/>
      <t xml:space="preserve"> protocol                                                </t>
    </r>
  </si>
  <si>
    <t>D</t>
  </si>
  <si>
    <t>Certify that wild sampling has been done in the same day of processing.</t>
  </si>
  <si>
    <t xml:space="preserve">Choose healthy thalli without chlorosis (transparent). </t>
  </si>
  <si>
    <t>Put 200mg/50ml of thalli in a 50ml falcon with ultra pure water and vortex 10s</t>
  </si>
  <si>
    <t>Fast-dip the desired thalli into 2.5% bleach for 5s. Repeat step 5.</t>
  </si>
  <si>
    <t>Pour 10ml of ASW into a petri dish and transfer the washed thalli.</t>
  </si>
  <si>
    <t>Gently scrape the thalli with a scalpel in a low angle. After, change the petri dish and the razor blade. Repeat 2x.</t>
  </si>
  <si>
    <t>Using 200ul tip bottom, cut the thalli into disks. Prefer the thalli margins</t>
  </si>
  <si>
    <t>Transfer 2 disks to Utubes filled with 500ul of WB</t>
  </si>
  <si>
    <t>Add 1 (3mm) bead and place tubes in tissue-lyser rack</t>
  </si>
  <si>
    <t>Shake for 5min at 30 Hz in cooled tissuelyser racks</t>
  </si>
  <si>
    <t>Remove beads with neodimium magnet. Wash them imediately with EtOH 70%</t>
  </si>
  <si>
    <t xml:space="preserve">Centrifuge tubes at 5000RPM for 2min. Discard supernant. </t>
  </si>
  <si>
    <t>Add 2ml of cold ASW. Vortex. Repeat 14-15 3x.</t>
  </si>
  <si>
    <t xml:space="preserve">Add ground tissue to culture flasks or plates with PEAS. Add GeO2 fo 1 week to reduce diatom growth. </t>
  </si>
  <si>
    <t>PP</t>
  </si>
  <si>
    <t>Optional: Add 50ul of Antibiotics Mix (50mg/ml) to reduce contamination</t>
  </si>
  <si>
    <t>Remember to clean tweezers and scalpel with ethanol and discard razor blade in appropriate thrash</t>
  </si>
  <si>
    <t>Set light-dark cycle to 8:16 (short-day), irradiance 50% (60uE) of white light and 13ºC to induce gametogenesis.</t>
  </si>
  <si>
    <t>In 2 days, cell differentiation starts in 5-10 days you may have attached germlings.</t>
  </si>
  <si>
    <t>Transfer culture flask to long day (16:8) and higher temperature (20C) incubator</t>
  </si>
  <si>
    <r>
      <rPr/>
      <t xml:space="preserve">When visible, sample the gametophytes tufts and proceed with </t>
    </r>
    <r>
      <rPr>
        <color rgb="FF1155CC"/>
        <u/>
      </rPr>
      <t>Frag-Filt</t>
    </r>
    <r>
      <rPr/>
      <t xml:space="preserve">, </t>
    </r>
    <r>
      <rPr>
        <color rgb="FF1155CC"/>
        <u/>
      </rPr>
      <t>Assay</t>
    </r>
    <r>
      <rPr/>
      <t xml:space="preserve"> and/or </t>
    </r>
    <r>
      <rPr>
        <color rgb="FF1155CC"/>
        <u/>
      </rPr>
      <t>DTE</t>
    </r>
  </si>
  <si>
    <t>Total</t>
  </si>
  <si>
    <t>Dilution-to-extinction isolation in 384 well plates</t>
  </si>
  <si>
    <r>
      <rPr>
        <rFont val="arial, sans, sans-serif"/>
        <color theme="1"/>
      </rPr>
      <t>Microscope | Cooled centrifuge | Laminar Flow Hood (</t>
    </r>
    <r>
      <rPr>
        <rFont val="arial, sans, sans-serif"/>
        <color rgb="FFFF0000"/>
      </rPr>
      <t>LFH</t>
    </r>
    <r>
      <rPr>
        <rFont val="arial, sans, sans-serif"/>
        <color theme="1"/>
      </rPr>
      <t xml:space="preserve">) | 70% Ethanol | Paper towel | </t>
    </r>
    <r>
      <rPr>
        <rFont val="arial, sans, sans-serif"/>
        <b/>
        <color theme="1"/>
      </rPr>
      <t xml:space="preserve">50ml tube rack </t>
    </r>
  </si>
  <si>
    <r>
      <rPr>
        <rFont val="arial"/>
        <b/>
        <color rgb="FF000000"/>
      </rPr>
      <t xml:space="preserve">2ml tube rack | Liquid thrash | Tip thrash | Parafilm strips | MultiChannel Pipette Reservoir </t>
    </r>
    <r>
      <rPr>
        <rFont val="arial"/>
        <b/>
        <color rgb="FFFF0000"/>
      </rPr>
      <t>(MCPR)</t>
    </r>
  </si>
  <si>
    <r>
      <rPr>
        <rFont val="arial"/>
        <b/>
        <color rgb="FF000000"/>
      </rPr>
      <t xml:space="preserve">384 well plates (384WP) | Tube Marker | Kim wipes | </t>
    </r>
    <r>
      <rPr>
        <rFont val="arial"/>
        <b val="0"/>
        <color rgb="FF000000"/>
      </rPr>
      <t>Artificial SeaWater (ASW)</t>
    </r>
  </si>
  <si>
    <r>
      <rPr>
        <rFont val="arial, sans, sans-serif"/>
        <b/>
        <color theme="1"/>
      </rPr>
      <t xml:space="preserve">Ziplock bag | 1,5ml tubes | P20-P1000 pipettes | </t>
    </r>
    <r>
      <rPr>
        <rFont val="arial, sans, sans-serif"/>
        <b/>
        <color rgb="FF434343"/>
      </rPr>
      <t>P300 12C-multichannel pipette</t>
    </r>
    <r>
      <rPr>
        <rFont val="arial, sans, sans-serif"/>
        <b/>
        <color rgb="FFFF0000"/>
      </rPr>
      <t xml:space="preserve"> (MCP) </t>
    </r>
  </si>
  <si>
    <r>
      <rPr>
        <rFont val="arial, sans, sans-serif"/>
        <b/>
        <color theme="1"/>
      </rPr>
      <t xml:space="preserve">Parafilm strips </t>
    </r>
    <r>
      <rPr>
        <rFont val="arial, sans, sans-serif"/>
        <color theme="1"/>
      </rPr>
      <t xml:space="preserve">| </t>
    </r>
    <r>
      <rPr>
        <rFont val="arial, sans, sans-serif"/>
        <b/>
        <color theme="1"/>
      </rPr>
      <t xml:space="preserve">200 and 1000 ul filter tips | </t>
    </r>
    <r>
      <rPr>
        <rFont val="arial, sans, sans-serif"/>
        <color theme="1"/>
      </rPr>
      <t xml:space="preserve">Filtered </t>
    </r>
    <r>
      <rPr>
        <rFont val="arial, sans, sans-serif"/>
        <color rgb="FFFF0000"/>
      </rPr>
      <t>PES</t>
    </r>
    <r>
      <rPr>
        <rFont val="arial, sans, sans-serif"/>
        <color theme="1"/>
      </rPr>
      <t xml:space="preserve"> (Provasoli Enrichment Solution) | 24WP with lid</t>
    </r>
  </si>
  <si>
    <t>P: Preparation | L: Laminar Flow | C: Counting | D: Dilution | SD: Serial Dilution | I: Imaging</t>
  </si>
  <si>
    <t xml:space="preserve"> R: Refresh | T: Transfering</t>
  </si>
  <si>
    <t>P</t>
  </si>
  <si>
    <r>
      <rPr/>
      <t xml:space="preserve">If isolating from gametophytes, do the </t>
    </r>
    <r>
      <rPr>
        <color rgb="FF1155CC"/>
        <u/>
      </rPr>
      <t xml:space="preserve">"Frag-Filt" </t>
    </r>
    <r>
      <rPr/>
      <t xml:space="preserve">protocol first then start on </t>
    </r>
    <r>
      <rPr>
        <b/>
      </rPr>
      <t>step 10</t>
    </r>
  </si>
  <si>
    <t>Choose a centrifuge rotor based on the type of tube you need to concentrate your sample.</t>
  </si>
  <si>
    <r>
      <rPr/>
      <t xml:space="preserve">Proceed with </t>
    </r>
    <r>
      <rPr>
        <color rgb="FF1155CC"/>
        <u/>
      </rPr>
      <t>LFH</t>
    </r>
    <r>
      <rPr/>
      <t xml:space="preserve"> protocol                                                </t>
    </r>
  </si>
  <si>
    <t xml:space="preserve">Pipette 100 ul of the sample into at least three 384WP wells. </t>
  </si>
  <si>
    <t>Put the lid and seal it with parafilm strips</t>
  </si>
  <si>
    <t xml:space="preserve">Incubate the plate inside incubator for 15 min to allow gametophytes to settle randomly.                                                </t>
  </si>
  <si>
    <t xml:space="preserve">Centrifuge 1min at 3700g at 4ºC. </t>
  </si>
  <si>
    <t>Photograph the wells and count the cells using the "Imaging" protocol</t>
  </si>
  <si>
    <t>Calculate the concentration as units/ml</t>
  </si>
  <si>
    <r>
      <rPr>
        <rFont val="Arial"/>
        <color theme="1"/>
      </rPr>
      <t xml:space="preserve">If a dilution curve is needed, proceed to section </t>
    </r>
    <r>
      <rPr>
        <rFont val="Arial"/>
        <b/>
        <color theme="1"/>
      </rPr>
      <t>SD</t>
    </r>
  </si>
  <si>
    <r>
      <rPr>
        <rFont val="Arial"/>
        <color theme="1"/>
      </rPr>
      <t xml:space="preserve">Pour 40 ml of </t>
    </r>
    <r>
      <rPr>
        <rFont val="Arial"/>
        <b/>
        <color theme="1"/>
      </rPr>
      <t>PEAS</t>
    </r>
    <r>
      <rPr>
        <rFont val="Arial"/>
        <color theme="1"/>
      </rPr>
      <t xml:space="preserve"> in a multichannel reservoir to make a whole plate</t>
    </r>
  </si>
  <si>
    <r>
      <rPr>
        <rFont val="Arial"/>
        <color theme="1"/>
      </rPr>
      <t xml:space="preserve">Dilute the samples to get a concentration of 5-10 units/ml of PEAS in the </t>
    </r>
    <r>
      <rPr>
        <rFont val="Arial"/>
        <b/>
        <color theme="1"/>
      </rPr>
      <t>MCPR</t>
    </r>
  </si>
  <si>
    <r>
      <rPr>
        <rFont val="Arial"/>
        <color theme="1"/>
      </rPr>
      <t xml:space="preserve">Mix dilution at least 5x with </t>
    </r>
    <r>
      <rPr>
        <rFont val="Arial"/>
        <b/>
        <color theme="1"/>
      </rPr>
      <t>MCP</t>
    </r>
  </si>
  <si>
    <r>
      <rPr>
        <rFont val="Arial"/>
        <color theme="1"/>
      </rPr>
      <t xml:space="preserve">Add 100 ul </t>
    </r>
    <r>
      <rPr>
        <rFont val="Arial"/>
        <b/>
        <color theme="1"/>
      </rPr>
      <t>PEAS</t>
    </r>
    <r>
      <rPr>
        <rFont val="Arial"/>
        <color theme="1"/>
      </rPr>
      <t xml:space="preserve"> in all wells always homogenizing 3x before pipetting.</t>
    </r>
  </si>
  <si>
    <t>Put plastic lid and seal with Parafilm strip.</t>
  </si>
  <si>
    <t xml:space="preserve">Incubate the plate inside incubator for 15min to allow gametophytes to settle randomly.                                                                                                                                          </t>
  </si>
  <si>
    <r>
      <rPr>
        <rFont val="Arial"/>
        <color rgb="FF000000"/>
        <sz val="10.0"/>
      </rPr>
      <t xml:space="preserve">Weigh the plate and use a </t>
    </r>
    <r>
      <rPr>
        <rFont val="Arial"/>
        <b/>
        <color rgb="FF000000"/>
        <sz val="10.0"/>
      </rPr>
      <t>24WP</t>
    </r>
    <r>
      <rPr>
        <rFont val="Arial"/>
        <color rgb="FF000000"/>
        <sz val="10.0"/>
      </rPr>
      <t xml:space="preserve"> filled with water to balance the centrifuge rotor.                                        </t>
    </r>
  </si>
  <si>
    <t>Put the plate inside a ziplock bag and ensure its is securely sealed.</t>
  </si>
  <si>
    <t>Perfom the following steps only if a Serial Dilution Curve is needed</t>
  </si>
  <si>
    <t>SD</t>
  </si>
  <si>
    <r>
      <rPr>
        <rFont val="Arial"/>
        <color theme="1"/>
      </rPr>
      <t xml:space="preserve">Pipette 50ul of </t>
    </r>
    <r>
      <rPr>
        <rFont val="Arial"/>
        <b/>
        <color theme="1"/>
      </rPr>
      <t>PEAS</t>
    </r>
    <r>
      <rPr>
        <rFont val="Arial"/>
        <color theme="1"/>
      </rPr>
      <t xml:space="preserve"> in all wells except the first and last row</t>
    </r>
  </si>
  <si>
    <t>Pipette 100ul of fragmented and filtered algae solution in the first row</t>
  </si>
  <si>
    <t>Mix 5x and transfer 50ul from first row to the lower, and mix 3x. Repeat until the last row.</t>
  </si>
  <si>
    <t>Put plastic lid and Isolate with 1 parafilm strip.</t>
  </si>
  <si>
    <r>
      <rPr>
        <rFont val="Arial"/>
        <color rgb="FF000000"/>
        <sz val="10.0"/>
      </rPr>
      <t xml:space="preserve">Weigh the plate and use a </t>
    </r>
    <r>
      <rPr>
        <rFont val="Arial"/>
        <b/>
        <color rgb="FF000000"/>
        <sz val="10.0"/>
      </rPr>
      <t>24WP</t>
    </r>
    <r>
      <rPr>
        <rFont val="Arial"/>
        <color rgb="FF000000"/>
        <sz val="10.0"/>
      </rPr>
      <t xml:space="preserve"> filled with water to balance the centrifuge rotor.                                        </t>
    </r>
  </si>
  <si>
    <t xml:space="preserve">Centrifuge 1 min at 3700g at 4ºC. </t>
  </si>
  <si>
    <t>Put the lid back and seal it with 2 parafilm strips</t>
  </si>
  <si>
    <t>I</t>
  </si>
  <si>
    <r>
      <rPr>
        <rFont val="Arial"/>
        <color rgb="FF000000"/>
        <sz val="10.0"/>
      </rPr>
      <t>Proceed with the "</t>
    </r>
    <r>
      <rPr>
        <rFont val="Arial"/>
        <color rgb="FF1155CC"/>
        <sz val="10.0"/>
        <u/>
      </rPr>
      <t>Imaging</t>
    </r>
    <r>
      <rPr>
        <rFont val="Arial"/>
        <color rgb="FF000000"/>
        <sz val="10.0"/>
      </rPr>
      <t>" protocol to detect fluorescent cells and singlet wells</t>
    </r>
  </si>
  <si>
    <t>R</t>
  </si>
  <si>
    <r>
      <rPr/>
      <t>Proceed with "</t>
    </r>
    <r>
      <rPr>
        <color rgb="FF1155CC"/>
        <u/>
      </rPr>
      <t>Refresh</t>
    </r>
    <r>
      <rPr/>
      <t>" protocol every 30 days</t>
    </r>
  </si>
  <si>
    <t>H</t>
  </si>
  <si>
    <r>
      <rPr>
        <b/>
      </rPr>
      <t>When tufts reach a visible size, proceed to "</t>
    </r>
    <r>
      <rPr>
        <b/>
        <color rgb="FF1155CC"/>
        <u/>
      </rPr>
      <t>harvest</t>
    </r>
    <r>
      <rPr>
        <b/>
      </rPr>
      <t>" protocol</t>
    </r>
  </si>
  <si>
    <t>Generic Assay in 384 well plates</t>
  </si>
  <si>
    <r>
      <rPr>
        <rFont val="arial, sans, sans-serif"/>
        <color theme="1"/>
      </rPr>
      <t>Microscope | Cooled centrifuge | Laminar Flow Hood (</t>
    </r>
    <r>
      <rPr>
        <rFont val="arial, sans, sans-serif"/>
        <color rgb="FFFF0000"/>
      </rPr>
      <t>LFH</t>
    </r>
    <r>
      <rPr>
        <rFont val="arial, sans, sans-serif"/>
        <color theme="1"/>
      </rPr>
      <t xml:space="preserve">) | 70% Ethanol | Paper towel | </t>
    </r>
    <r>
      <rPr>
        <rFont val="arial, sans, sans-serif"/>
        <b/>
        <color theme="1"/>
      </rPr>
      <t xml:space="preserve">50ml tube rack </t>
    </r>
  </si>
  <si>
    <r>
      <rPr>
        <rFont val="arial"/>
        <b/>
        <color rgb="FF000000"/>
      </rPr>
      <t xml:space="preserve">2ml tube rack | Liquid thrash | Tip thrash | Parafilm strips | MultiChannel Pipette Reservoir </t>
    </r>
    <r>
      <rPr>
        <rFont val="arial"/>
        <b/>
        <color rgb="FFFF0000"/>
      </rPr>
      <t>(MCPR)</t>
    </r>
  </si>
  <si>
    <r>
      <rPr>
        <rFont val="arial"/>
        <b/>
        <color rgb="FF000000"/>
      </rPr>
      <t xml:space="preserve">384 well plates (384WP) | Tube Marker | Kim wipes | </t>
    </r>
    <r>
      <rPr>
        <rFont val="arial"/>
        <b val="0"/>
        <color rgb="FF000000"/>
      </rPr>
      <t>Artificial SeaWater (ASW)</t>
    </r>
  </si>
  <si>
    <r>
      <rPr>
        <rFont val="arial, sans, sans-serif"/>
        <b/>
        <color theme="1"/>
      </rPr>
      <t xml:space="preserve">Ziplock bag | 1,5ml tubes | P20-P1000 pipettes | </t>
    </r>
    <r>
      <rPr>
        <rFont val="arial, sans, sans-serif"/>
        <b/>
        <color rgb="FF434343"/>
      </rPr>
      <t>P300 12C-multichannel pipette</t>
    </r>
    <r>
      <rPr>
        <rFont val="arial, sans, sans-serif"/>
        <b/>
        <color rgb="FFFF0000"/>
      </rPr>
      <t xml:space="preserve"> (MCP) </t>
    </r>
  </si>
  <si>
    <r>
      <rPr>
        <rFont val="arial, sans, sans-serif"/>
        <b/>
        <color theme="1"/>
      </rPr>
      <t xml:space="preserve">Parafilm strips </t>
    </r>
    <r>
      <rPr>
        <rFont val="arial, sans, sans-serif"/>
        <color theme="1"/>
      </rPr>
      <t xml:space="preserve">| </t>
    </r>
    <r>
      <rPr>
        <rFont val="arial, sans, sans-serif"/>
        <b/>
        <color theme="1"/>
      </rPr>
      <t xml:space="preserve">200 and 1000 ul filter tips | </t>
    </r>
    <r>
      <rPr>
        <rFont val="arial, sans, sans-serif"/>
        <color theme="1"/>
      </rPr>
      <t>PES (Provasoli Enrichment Solution)</t>
    </r>
  </si>
  <si>
    <t>L: Laminar Flow | FF: Frag-Filt | C: Counting | D: Dilution | SD: Serial Dilution | I: Imaging</t>
  </si>
  <si>
    <t xml:space="preserve"> R: Refresh </t>
  </si>
  <si>
    <r>
      <rPr/>
      <t xml:space="preserve">Proceed with </t>
    </r>
    <r>
      <rPr>
        <color rgb="FF1155CC"/>
        <u/>
      </rPr>
      <t>LFH</t>
    </r>
    <r>
      <rPr/>
      <t xml:space="preserve"> protocol changing centrifuge rotor to microtubes                           </t>
    </r>
  </si>
  <si>
    <t>FF</t>
  </si>
  <si>
    <r>
      <rPr/>
      <t>Perform the "</t>
    </r>
    <r>
      <rPr>
        <color rgb="FF1155CC"/>
        <u/>
      </rPr>
      <t>Frag-Filt</t>
    </r>
    <r>
      <rPr/>
      <t>" protocol using 1 1mm tuft to make few wells of a 384WP</t>
    </r>
  </si>
  <si>
    <t>Pipette 100 ul of the sample into three 384WP wells. Use outer ring wells.</t>
  </si>
  <si>
    <t>Put the lid over and seal the plate with parafilm strips</t>
  </si>
  <si>
    <r>
      <rPr>
        <rFont val="Arial"/>
        <color rgb="FF000000"/>
        <sz val="10.0"/>
      </rPr>
      <t>Photograph the wells and count the spores using the "</t>
    </r>
    <r>
      <rPr>
        <rFont val="Arial"/>
        <color rgb="FF1155CC"/>
        <sz val="10.0"/>
        <u/>
      </rPr>
      <t>Imaging</t>
    </r>
    <r>
      <rPr>
        <rFont val="Arial"/>
        <color rgb="FF000000"/>
        <sz val="10.0"/>
      </rPr>
      <t>" protocol</t>
    </r>
  </si>
  <si>
    <r>
      <rPr/>
      <t>Take photos to PC and proceed with "</t>
    </r>
    <r>
      <rPr>
        <color rgb="FF1155CC"/>
        <u/>
      </rPr>
      <t>Labkit</t>
    </r>
    <r>
      <rPr/>
      <t>" protocol</t>
    </r>
  </si>
  <si>
    <t>Calculate the fragment density as units/ml</t>
  </si>
  <si>
    <t xml:space="preserve">Fill wells from columns 1,2,23 and 24 with 100ul of ASW. </t>
  </si>
  <si>
    <r>
      <rPr>
        <rFont val="Arial"/>
        <color theme="1"/>
      </rPr>
      <t xml:space="preserve">Pour 3ml of </t>
    </r>
    <r>
      <rPr>
        <rFont val="Arial"/>
        <b/>
        <color theme="1"/>
      </rPr>
      <t xml:space="preserve">PEAS </t>
    </r>
    <r>
      <rPr>
        <rFont val="Arial"/>
        <color theme="1"/>
      </rPr>
      <t>in a multichannel reservoir. Dead volume is 1 ml</t>
    </r>
  </si>
  <si>
    <r>
      <rPr>
        <rFont val="Arial"/>
        <color theme="1"/>
      </rPr>
      <t xml:space="preserve">Dilute the samples to get a concentration of 240 fragments/ml of PEAS in the </t>
    </r>
    <r>
      <rPr>
        <rFont val="Arial"/>
        <b/>
        <color theme="1"/>
      </rPr>
      <t>MCPR (24/well)</t>
    </r>
  </si>
  <si>
    <r>
      <rPr>
        <rFont val="Arial"/>
        <color theme="1"/>
      </rPr>
      <t xml:space="preserve">Mix dilution at least 5x with </t>
    </r>
    <r>
      <rPr>
        <rFont val="Arial"/>
        <b/>
        <color theme="1"/>
      </rPr>
      <t>MCP</t>
    </r>
  </si>
  <si>
    <r>
      <rPr>
        <rFont val="Arial"/>
        <color theme="1"/>
      </rPr>
      <t xml:space="preserve">Add 100 ul </t>
    </r>
    <r>
      <rPr>
        <rFont val="Arial"/>
        <b/>
        <color theme="1"/>
      </rPr>
      <t>PEAS</t>
    </r>
    <r>
      <rPr>
        <rFont val="Arial"/>
        <color theme="1"/>
      </rPr>
      <t xml:space="preserve"> in well per column (12 rows) always homogenizing 3x before pipetting.</t>
    </r>
  </si>
  <si>
    <t>Repeat 9-12 in a new MCPR for a new strain</t>
  </si>
  <si>
    <t>Cover plate with plastic lid and seal with Parafilm strip.</t>
  </si>
  <si>
    <r>
      <rPr>
        <rFont val="Arial"/>
        <color rgb="FF000000"/>
        <sz val="10.0"/>
      </rPr>
      <t>Proceed with the "</t>
    </r>
    <r>
      <rPr>
        <rFont val="Arial"/>
        <color rgb="FF1155CC"/>
        <sz val="10.0"/>
        <u/>
      </rPr>
      <t>Imaging</t>
    </r>
    <r>
      <rPr>
        <rFont val="Arial"/>
        <color rgb="FF000000"/>
        <sz val="10.0"/>
      </rPr>
      <t>" protocol to detect fragments size</t>
    </r>
  </si>
  <si>
    <r>
      <rPr/>
      <t>Proceed with "</t>
    </r>
    <r>
      <rPr>
        <color rgb="FF1155CC"/>
        <u/>
      </rPr>
      <t>Refresh</t>
    </r>
    <r>
      <rPr/>
      <t>" protocol every 30 days if needed</t>
    </r>
  </si>
  <si>
    <t>IMAGING</t>
  </si>
  <si>
    <t xml:space="preserve">Inverted microscope | Power Supply | HDMI cable | Remote Shutter | MicroSD card | LapTop | ImageJ software </t>
  </si>
  <si>
    <t>Cooled centrifuge | Laminar Flow Hood (LFH) | 70% Ethanol | Kim wipes | Parafilm strips</t>
  </si>
  <si>
    <t>S: SSM removal | C: Camera Set | MS: Manual Screening | SSM: Silicone Seal Mat | Tray</t>
  </si>
  <si>
    <t>Remove the plate from the incubator. Remove the ziplock bag and transport it in a tray.</t>
  </si>
  <si>
    <t>Centrifuge the 384WP at 3700g at 4ºC for 1 min.</t>
  </si>
  <si>
    <t xml:space="preserve">Proceed with LFH protocol                                                </t>
  </si>
  <si>
    <r>
      <rPr>
        <rFont val="Arial"/>
        <color theme="1"/>
      </rPr>
      <t xml:space="preserve">If imaging plates without </t>
    </r>
    <r>
      <rPr>
        <rFont val="Arial"/>
        <b/>
        <color theme="1"/>
      </rPr>
      <t>SSMs</t>
    </r>
    <r>
      <rPr>
        <rFont val="Arial"/>
        <color theme="1"/>
      </rPr>
      <t xml:space="preserve">, jump to step </t>
    </r>
    <r>
      <rPr>
        <rFont val="Arial"/>
        <b/>
        <color theme="1"/>
      </rPr>
      <t>7</t>
    </r>
    <r>
      <rPr>
        <rFont val="Arial"/>
        <color theme="1"/>
      </rPr>
      <t>. If not, it must be carefully removed before imaging.</t>
    </r>
  </si>
  <si>
    <t>Carefully remove the SSM by pulling it upwards smoothly from lower right corner.</t>
  </si>
  <si>
    <t>Put plastic lid back and seal it with 2 Parafilm strips</t>
  </si>
  <si>
    <t>Leave SSM inside LFH, ensuring it's teeth are facing upwards to minimize risk of contamination. Ideally, cover it.</t>
  </si>
  <si>
    <t>Wipe the bottom of the plate with EtOH70% and KimWipes. Remove excess.</t>
  </si>
  <si>
    <r>
      <rPr>
        <rFont val="Arial"/>
        <color rgb="FF000000"/>
        <sz val="10.0"/>
      </rPr>
      <t xml:space="preserve">Follow </t>
    </r>
    <r>
      <rPr>
        <rFont val="Arial"/>
        <b/>
        <color rgb="FF1155CC"/>
        <sz val="10.0"/>
        <u/>
      </rPr>
      <t>EOSRP</t>
    </r>
    <r>
      <rPr>
        <rFont val="Arial"/>
        <b/>
        <color rgb="FF000000"/>
        <sz val="10.0"/>
      </rPr>
      <t xml:space="preserve"> </t>
    </r>
    <r>
      <rPr>
        <rFont val="Arial"/>
        <color rgb="FF000000"/>
        <sz val="10.0"/>
      </rPr>
      <t>protocol to setup microscope and camera</t>
    </r>
  </si>
  <si>
    <t>For faster screening a whole 384WP use 5x objective (only on Full Frame cameras)</t>
  </si>
  <si>
    <t xml:space="preserve">Position plate on well A3 and align well margins to screen grid. Exclude margins only in post-processing                                            </t>
  </si>
  <si>
    <t xml:space="preserve">Screen plate by using a meandric order (Down and right order, column-wise)                                 </t>
  </si>
  <si>
    <t>MS</t>
  </si>
  <si>
    <t>Take 1 photo per well by pressing the remote shutter button</t>
  </si>
  <si>
    <t>For higher magnification, use 10x objective and take 12 photos (3x4) per well with  ~20% overlaping</t>
  </si>
  <si>
    <t>Adjust focus for every well</t>
  </si>
  <si>
    <t>Keep notes to avoid getting lost. Browse photo gallery to check for errors on photo sequence</t>
  </si>
  <si>
    <t>If you can identify an error, press the erase buttom and confirm</t>
  </si>
  <si>
    <t>Annotate any observation important for posterior processing</t>
  </si>
  <si>
    <r>
      <rPr>
        <rFont val="Arial"/>
        <color rgb="FF000000"/>
        <sz val="10.0"/>
      </rPr>
      <t xml:space="preserve">When finished, remove SD card and transfer the files to your PC. Proceed to </t>
    </r>
    <r>
      <rPr>
        <rFont val="Arial"/>
        <color rgb="FF1155CC"/>
        <sz val="10.0"/>
        <u/>
      </rPr>
      <t>LabKit</t>
    </r>
    <r>
      <rPr>
        <rFont val="Arial"/>
        <color rgb="FF000000"/>
        <sz val="10.0"/>
      </rPr>
      <t xml:space="preserve"> protocol</t>
    </r>
  </si>
  <si>
    <t>SSM</t>
  </si>
  <si>
    <r>
      <rPr>
        <rFont val="Arial"/>
        <color theme="1"/>
      </rPr>
      <t xml:space="preserve">Put the </t>
    </r>
    <r>
      <rPr>
        <rFont val="Arial"/>
        <b/>
        <color theme="1"/>
      </rPr>
      <t>SSM</t>
    </r>
    <r>
      <rPr>
        <rFont val="Arial"/>
        <color theme="1"/>
      </rPr>
      <t xml:space="preserve"> back and certify that all wells are covered and firmily fit. Use a roller or a paddle.</t>
    </r>
  </si>
  <si>
    <t>CANON EOS RP operation in Zeiss</t>
  </si>
  <si>
    <t>M: Microscope | C: Camera</t>
  </si>
  <si>
    <t>M</t>
  </si>
  <si>
    <r>
      <rPr>
        <rFont val="Arial"/>
        <color rgb="FF000000"/>
      </rPr>
      <t>If camera-microscope is already set up, jump to</t>
    </r>
    <r>
      <rPr>
        <rFont val="Arial"/>
        <b/>
        <color rgb="FF000000"/>
      </rPr>
      <t xml:space="preserve"> step 6 </t>
    </r>
  </si>
  <si>
    <t>Unscrew the T2-60N adapter from microscope side port</t>
  </si>
  <si>
    <t>Screw the RF-M42 ring to the T2-60N adapter and screw it to the camera</t>
  </si>
  <si>
    <t>Conect the power supply, SD card, remote shutter and USB-C/HDMI cable to camera</t>
  </si>
  <si>
    <t xml:space="preserve">Screw the 60N adapter to 60N microscope port                                                </t>
  </si>
  <si>
    <t>For Bright Field, set the light intesity to 35% on microscope</t>
  </si>
  <si>
    <t>For Bright Field, adjust the condenser to its minimum height (closer to plate) by rotating its knob</t>
  </si>
  <si>
    <t>For Chlorophyll Fluorescence, turn the fluorescence illuminator (e.g. HBO 100) on 1min before using.</t>
  </si>
  <si>
    <t>For Chlorophyll Fluorescence, set the light intesity on fluorescence illuminator to max</t>
  </si>
  <si>
    <t>Set side port control to completely light path to screen for better quality and ergonomics.</t>
  </si>
  <si>
    <t>Set desired filter by using lower buttons on control ring. For chlorophyll autofluorescence, set Filter Set 00 (PI)</t>
  </si>
  <si>
    <t>Tap RL button (lower right side) for switching the reflected light shutter (fluorescence) on and off</t>
  </si>
  <si>
    <r>
      <rPr>
        <rFont val="Arial"/>
        <color rgb="FF000000"/>
        <sz val="10.0"/>
      </rPr>
      <t xml:space="preserve">Turn camera on. If camera has been used before, jump to </t>
    </r>
    <r>
      <rPr>
        <rFont val="Arial"/>
        <b/>
        <color rgb="FF000000"/>
        <sz val="10.0"/>
      </rPr>
      <t>step 17</t>
    </r>
  </si>
  <si>
    <t>Set camera mode dial to manual</t>
  </si>
  <si>
    <t>Set on custom settings to C.Fn III-7: "Release shutter w/o lens"</t>
  </si>
  <si>
    <t>Turn-off image review on Menu 1 &gt; image review [Off]</t>
  </si>
  <si>
    <t xml:space="preserve">For Bright Field, set ISO to 400 and exposure to 1/30 on camera. </t>
  </si>
  <si>
    <t>For Fluorescence, set ISO to 400 and exposure to 0.5" on camera. Certify that transmited light is off (TL button)</t>
  </si>
  <si>
    <t>Set Menu (left side) &gt; File numbering &gt; Manual Reset &gt; Ok. Repeat this for every plate.</t>
  </si>
  <si>
    <t>Turn off room light to reduce backgroun.</t>
  </si>
  <si>
    <r>
      <rPr>
        <rFont val="Arial"/>
        <color rgb="FF000000"/>
        <sz val="10.0"/>
      </rPr>
      <t xml:space="preserve">Go back to </t>
    </r>
    <r>
      <rPr>
        <rFont val="Arial"/>
        <color rgb="FF1155CC"/>
        <sz val="10.0"/>
        <u/>
      </rPr>
      <t>Imaging</t>
    </r>
    <r>
      <rPr>
        <rFont val="Arial"/>
        <color rgb="FF000000"/>
        <sz val="10.0"/>
      </rPr>
      <t xml:space="preserve"> protocol  step 10</t>
    </r>
  </si>
  <si>
    <t>Automated plate Screening in IX81 Olympus Microscope</t>
  </si>
  <si>
    <t>Certify that all plugs are connected to the outlets</t>
  </si>
  <si>
    <t>Turn microscope and PC on</t>
  </si>
  <si>
    <t>Turn Hammatsu camera on. Certify that the slider is redirecting the images to it.</t>
  </si>
  <si>
    <t>Log in and open the CellSens Dimension software. Make sure there is no sample on the stage. Do the recalibration.</t>
  </si>
  <si>
    <t>Carefully load sample on stage</t>
  </si>
  <si>
    <t>In "Well Navigator" load the plate template. Check if selected wells are the one you need to be screened</t>
  </si>
  <si>
    <t>In "Process Manager" load the "Process definition" file</t>
  </si>
  <si>
    <t>In "Aquisition Settings", change the output to a specific folder. Check "Close after Save", Uncheck "Create subdirectory".</t>
  </si>
  <si>
    <t>Hit start. Wait until the total time is displayed in the bottom of the screen.</t>
  </si>
  <si>
    <t>It may take up to 30h to finish a whole plate.</t>
  </si>
  <si>
    <r>
      <rPr/>
      <t xml:space="preserve">Transfer images to a flash-drive, or batch transfer by bash (next step). If not, proceed to </t>
    </r>
    <r>
      <rPr>
        <color rgb="FF1155CC"/>
        <u/>
      </rPr>
      <t>Labkit protocol</t>
    </r>
  </si>
  <si>
    <t>Click on right button of mouse and open the directory in terminal</t>
  </si>
  <si>
    <t>Type "ssh user@10.36.4.9" (check ip) to access PC (or cluster) to process images.</t>
  </si>
  <si>
    <t>Type password</t>
  </si>
  <si>
    <r>
      <rPr/>
      <t xml:space="preserve">type cd "/media/Disk1/your folder" to access your folder. Certify </t>
    </r>
    <r>
      <rPr>
        <color rgb="FF1155CC"/>
        <u/>
      </rPr>
      <t>mknewf.sh</t>
    </r>
    <r>
      <rPr/>
      <t xml:space="preserve"> script is already in your folder.</t>
    </r>
  </si>
  <si>
    <r>
      <rPr/>
      <t xml:space="preserve">type bash </t>
    </r>
    <r>
      <rPr>
        <color rgb="FF1155CC"/>
        <u/>
      </rPr>
      <t>mknewf.sh</t>
    </r>
    <r>
      <rPr/>
      <t xml:space="preserve"> "current date" "current plate". Repeat for other dates and/or plates</t>
    </r>
  </si>
  <si>
    <t>type "logout" to return to the microscope PC. Go to your upper plate folder</t>
  </si>
  <si>
    <t xml:space="preserve">Type: scp * -r "user@10.36.4.9:/media/Disk1/your.folder/plate/". </t>
  </si>
  <si>
    <t>Type password.</t>
  </si>
  <si>
    <r>
      <rPr/>
      <t xml:space="preserve">This will transfer all files to the PC using same structure of folders and subfolders. Proceed to </t>
    </r>
    <r>
      <rPr>
        <color rgb="FF1155CC"/>
        <u/>
      </rPr>
      <t>Labkit protocol</t>
    </r>
  </si>
  <si>
    <t>Harvesting Isolated Strains in 384 well plates</t>
  </si>
  <si>
    <r>
      <rPr>
        <rFont val="arial, sans, sans-serif"/>
        <color theme="1"/>
      </rPr>
      <t>Microscope | Cooled centrifuge | Laminar Flow Hood (</t>
    </r>
    <r>
      <rPr>
        <rFont val="arial, sans, sans-serif"/>
        <color rgb="FFFF0000"/>
      </rPr>
      <t>LFH</t>
    </r>
    <r>
      <rPr>
        <rFont val="arial, sans, sans-serif"/>
        <color theme="1"/>
      </rPr>
      <t xml:space="preserve">) | 70% Ethanol | Paper towel | </t>
    </r>
    <r>
      <rPr>
        <rFont val="arial, sans, sans-serif"/>
        <b/>
        <color theme="1"/>
      </rPr>
      <t xml:space="preserve">50ml tube rack </t>
    </r>
  </si>
  <si>
    <r>
      <rPr>
        <rFont val="arial"/>
        <b/>
        <color rgb="FF000000"/>
      </rPr>
      <t xml:space="preserve">2ml tube rack | Liquid thrash | Tip thrash | Parafilm strips | MultiChannel Pipette Reservoir </t>
    </r>
    <r>
      <rPr>
        <rFont val="arial"/>
        <b/>
        <color rgb="FFFF0000"/>
      </rPr>
      <t>(MCPR)</t>
    </r>
  </si>
  <si>
    <r>
      <rPr>
        <rFont val="arial"/>
        <b/>
        <color rgb="FF000000"/>
      </rPr>
      <t xml:space="preserve">384 well plates (384WP) | Tube Marker | Kim wipes | </t>
    </r>
    <r>
      <rPr>
        <rFont val="arial"/>
        <b val="0"/>
        <color rgb="FF000000"/>
      </rPr>
      <t>Artificial SeaWater (ASW)</t>
    </r>
  </si>
  <si>
    <r>
      <rPr>
        <rFont val="arial, sans, sans-serif"/>
        <b/>
        <color theme="1"/>
      </rPr>
      <t xml:space="preserve">Ziplock bag | 1,5ml tubes | P20-P1000 pipettes | </t>
    </r>
    <r>
      <rPr>
        <rFont val="arial, sans, sans-serif"/>
        <b/>
        <color rgb="FF434343"/>
      </rPr>
      <t>P300 12C-multichannel pipette</t>
    </r>
    <r>
      <rPr>
        <rFont val="arial, sans, sans-serif"/>
        <b/>
        <color rgb="FFFF0000"/>
      </rPr>
      <t xml:space="preserve"> (MCP) </t>
    </r>
  </si>
  <si>
    <r>
      <rPr>
        <rFont val="arial, sans, sans-serif"/>
        <b/>
        <color theme="1"/>
      </rPr>
      <t xml:space="preserve">Parafilm strips </t>
    </r>
    <r>
      <rPr>
        <rFont val="arial, sans, sans-serif"/>
        <color theme="1"/>
      </rPr>
      <t xml:space="preserve">| </t>
    </r>
    <r>
      <rPr>
        <rFont val="arial, sans, sans-serif"/>
        <b/>
        <color theme="1"/>
      </rPr>
      <t xml:space="preserve">200 and 1000 ul filter tips | </t>
    </r>
    <r>
      <rPr>
        <rFont val="arial, sans, sans-serif"/>
        <color theme="1"/>
      </rPr>
      <t>PES (Provasoli Enrichment Solution) | 24WP with lid</t>
    </r>
  </si>
  <si>
    <t>L: Laminar Flow | T: Transfering</t>
  </si>
  <si>
    <t>T</t>
  </si>
  <si>
    <t>Using a marker, indentify singlet wells with visible tufts previously identified.</t>
  </si>
  <si>
    <t>Using a 10ul tip, detach the gametophyte by scraping well bottom in a circular pattern</t>
  </si>
  <si>
    <t>Transfer the whole volume to a bigger flask with PEAS. Refresh weekly.</t>
  </si>
  <si>
    <t>Certify the tuft was transferred by seeing it inside tube. Check if there are leftovers in the well.</t>
  </si>
  <si>
    <t>For faster growth, transfer to a microtube and fragment (motorized grinder or tissue lyser)</t>
  </si>
  <si>
    <t>Transfer fragmented tissue to T75 culture flask or 100ml test tubes to bulk up its biomass.</t>
  </si>
  <si>
    <t>384 well plate Media Renewal</t>
  </si>
  <si>
    <r>
      <rPr>
        <rFont val="arial, sans, sans-serif"/>
        <color theme="1"/>
      </rPr>
      <t>Cooled centrifuge | Laminar Flow Hood (</t>
    </r>
    <r>
      <rPr>
        <rFont val="arial, sans, sans-serif"/>
        <color rgb="FFFF0000"/>
      </rPr>
      <t>LFH</t>
    </r>
    <r>
      <rPr>
        <rFont val="arial, sans, sans-serif"/>
        <color theme="1"/>
      </rPr>
      <t xml:space="preserve">) | 70% Ethanol | Paper towel | </t>
    </r>
    <r>
      <rPr>
        <rFont val="arial, sans, sans-serif"/>
        <b/>
        <color theme="1"/>
      </rPr>
      <t>50ml tube rack</t>
    </r>
    <r>
      <rPr>
        <rFont val="arial, sans, sans-serif"/>
        <color theme="1"/>
      </rPr>
      <t xml:space="preserve">  | </t>
    </r>
    <r>
      <rPr>
        <rFont val="arial, sans, sans-serif"/>
        <b/>
        <color theme="1"/>
      </rPr>
      <t xml:space="preserve">Liquid thrash | Tip thrash | </t>
    </r>
    <r>
      <rPr>
        <rFont val="arial, sans, sans-serif"/>
        <color theme="1"/>
      </rPr>
      <t xml:space="preserve">Ziplock bag </t>
    </r>
  </si>
  <si>
    <r>
      <rPr>
        <rFont val="arial, sans, sans-serif"/>
        <b/>
        <color theme="1"/>
      </rPr>
      <t>1,5ml tubes | P20-P1000 pipettes | P300 8C-multichannel pipette (MCP) |</t>
    </r>
    <r>
      <rPr>
        <rFont val="arial, sans, sans-serif"/>
        <color theme="1"/>
      </rPr>
      <t xml:space="preserve">  </t>
    </r>
    <r>
      <rPr>
        <rFont val="arial, sans, sans-serif"/>
        <b/>
        <color theme="1"/>
      </rPr>
      <t>384 well plates (</t>
    </r>
    <r>
      <rPr>
        <rFont val="arial, sans, sans-serif"/>
        <b/>
        <color rgb="FFFF0000"/>
      </rPr>
      <t>384WP</t>
    </r>
    <r>
      <rPr>
        <rFont val="arial, sans, sans-serif"/>
        <b/>
        <color theme="1"/>
      </rPr>
      <t>) | MultiChannel Pipette Reservoir (</t>
    </r>
    <r>
      <rPr>
        <rFont val="arial, sans, sans-serif"/>
        <b/>
        <color rgb="FFFF0000"/>
      </rPr>
      <t>MCPR</t>
    </r>
    <r>
      <rPr>
        <rFont val="arial, sans, sans-serif"/>
        <b/>
        <color theme="1"/>
      </rPr>
      <t>)</t>
    </r>
  </si>
  <si>
    <r>
      <rPr>
        <rFont val="arial, sans, sans-serif"/>
        <b/>
        <color theme="1"/>
      </rPr>
      <t xml:space="preserve">Parafilm strips </t>
    </r>
    <r>
      <rPr>
        <rFont val="arial, sans, sans-serif"/>
        <color theme="1"/>
      </rPr>
      <t xml:space="preserve">| </t>
    </r>
    <r>
      <rPr>
        <rFont val="arial, sans, sans-serif"/>
        <b/>
        <color theme="1"/>
      </rPr>
      <t>200 and 1000 ul filter tips | | Silicone Sealing Mats (SSM) |</t>
    </r>
  </si>
  <si>
    <t>Artificial SeaWater (ASW) | PES (Provasoli Enrichment Solution) |Tube Marker | Kim wipes</t>
  </si>
  <si>
    <t>L: Laminar Flow Hood| R: Renewal</t>
  </si>
  <si>
    <t>Inside the LFH, process 2 plates at once for a faster process. Remove from ziplock bags.</t>
  </si>
  <si>
    <r>
      <rPr>
        <rFont val="Arial"/>
        <color rgb="FF000000"/>
        <sz val="10.0"/>
      </rPr>
      <t>If not using plates with SSMs, jump to step 6. If using Deep Well 384 plates,</t>
    </r>
    <r>
      <rPr>
        <rFont val="Arial"/>
        <b/>
        <color rgb="FF000000"/>
        <sz val="10.0"/>
      </rPr>
      <t xml:space="preserve"> increase volumes by 50%.</t>
    </r>
  </si>
  <si>
    <t>Centrifuge the 384WP 1min at 3700g at 4ºC to spin down any droplets formed in the SSMs</t>
  </si>
  <si>
    <r>
      <rPr>
        <rFont val="Arial"/>
        <color theme="1"/>
      </rPr>
      <t xml:space="preserve">Remove SSMs. Jump to </t>
    </r>
    <r>
      <rPr>
        <rFont val="Arial"/>
        <b/>
        <color theme="1"/>
      </rPr>
      <t>step 9</t>
    </r>
  </si>
  <si>
    <t>On plates without SSMs, remove 50 ul from all wells. Take care not to touch the bottom. Discard</t>
  </si>
  <si>
    <t>Always change tips when pipetting different strains or if there is contamination in some wells</t>
  </si>
  <si>
    <t>Pour 2xPEAS in a reservoir. Consider using a lower salinity ASW to equilibrate salinity if needed.</t>
  </si>
  <si>
    <t xml:space="preserve">Pipette 50ul of PEAS. Use same tips if not touching surfaces.                          </t>
  </si>
  <si>
    <t>Isolate lid with 1 parafilm strips</t>
  </si>
  <si>
    <r>
      <rPr>
        <rFont val="Arial"/>
        <color rgb="FF000000"/>
        <sz val="10.0"/>
      </rPr>
      <t xml:space="preserve">On plates without SSMs, skip to </t>
    </r>
    <r>
      <rPr>
        <rFont val="Arial"/>
        <b/>
        <color rgb="FF000000"/>
        <sz val="10.0"/>
      </rPr>
      <t>step 16</t>
    </r>
  </si>
  <si>
    <t>On plates with SMMs, remove 50 ul from all wells. Repeat 10 and 11. This certifies some gas exchange.</t>
  </si>
  <si>
    <r>
      <rPr>
        <rFont val="Arial"/>
        <color rgb="FF000000"/>
        <sz val="10.0"/>
      </rPr>
      <t xml:space="preserve">If processing multiple plates, ensure that each </t>
    </r>
    <r>
      <rPr>
        <rFont val="Arial"/>
        <b/>
        <color rgb="FF000000"/>
        <sz val="10.0"/>
      </rPr>
      <t>SSM</t>
    </r>
    <r>
      <rPr>
        <rFont val="Arial"/>
        <color rgb="FF000000"/>
        <sz val="10.0"/>
      </rPr>
      <t xml:space="preserve"> and lid is correctly assigned to its corresponding plate.</t>
    </r>
  </si>
  <si>
    <r>
      <rPr>
        <rFont val="Arial"/>
        <color theme="1"/>
      </rPr>
      <t xml:space="preserve">Put the </t>
    </r>
    <r>
      <rPr>
        <rFont val="Arial"/>
        <b/>
        <color theme="1"/>
      </rPr>
      <t>SSM</t>
    </r>
    <r>
      <rPr>
        <rFont val="Arial"/>
        <color theme="1"/>
      </rPr>
      <t xml:space="preserve"> and certify that all wells are covered and firmily fit. Use a roller or a paddle.</t>
    </r>
  </si>
  <si>
    <t>Return plate to incubator.</t>
  </si>
  <si>
    <t>LabKit model training</t>
  </si>
  <si>
    <t xml:space="preserve">Inverted microscope | NIKON camera | Power Supply | HDMI cable | Remote Shutter | MicroSD card | LapTop | ImageJ software </t>
  </si>
  <si>
    <t>M: Model Creation | S: Segmentation one image | B: Batch segmentation</t>
  </si>
  <si>
    <t>Open FIJI</t>
  </si>
  <si>
    <t>Drag and drop 1 image to analyze</t>
  </si>
  <si>
    <t>To create a model for a whole experiment drag random images from different days</t>
  </si>
  <si>
    <t>Using rectangle tool, select an area that covers most of the different objects present in image</t>
  </si>
  <si>
    <t xml:space="preserve">Press “CTRL + Shift + X” to to cut that region. </t>
  </si>
  <si>
    <t>Press Image &gt; Stacks  Images to Stacks. Then Image &gt; Stacks &gt; Make Montage. Change Scale Factor to 1. Save as zip</t>
  </si>
  <si>
    <t>On upper menu click on Plugins &gt; LabKit &gt; Open current image with Labkit. Choose the higher resolution.</t>
  </si>
  <si>
    <t>Using mouse scroll, increase zoom</t>
  </si>
  <si>
    <t>Use mouse right button to drag the image</t>
  </si>
  <si>
    <t>Mouse left buttom will rotate the image tridimensionally. Undo this in the upper menu View &gt; Reset View</t>
  </si>
  <si>
    <t>Click on background and by holding “D” key, draw a line on the objects you consider background</t>
  </si>
  <si>
    <t>Use at least 10 examples of each class</t>
  </si>
  <si>
    <t>Repeat 8-12 to provide examples to the “Foreground” by drawing a line over seaweed tissue</t>
  </si>
  <si>
    <r>
      <rPr>
        <rFont val="arial"/>
        <color rgb="FF000000"/>
        <sz val="10.0"/>
      </rPr>
      <t xml:space="preserve">On left Menu click in </t>
    </r>
    <r>
      <rPr>
        <rFont val="arial"/>
        <b/>
        <color rgb="FF000000"/>
        <sz val="10.0"/>
      </rPr>
      <t>LabKit pixel Classification. A new Menu appears</t>
    </r>
  </si>
  <si>
    <t>Click on the right pointing arrow to train the classifier. Wait segmentation to occur.</t>
  </si>
  <si>
    <t>By clicking on the Eye Symbol, toggle between segmented and original image.</t>
  </si>
  <si>
    <t>Check segmentation precision. If needed, train the model again with more examples.</t>
  </si>
  <si>
    <r>
      <rPr>
        <rFont val="arial"/>
        <color rgb="FF000000"/>
        <sz val="10.0"/>
      </rPr>
      <t xml:space="preserve">On downwards pointing arrow, click on </t>
    </r>
    <r>
      <rPr>
        <rFont val="arial"/>
        <b/>
        <color rgb="FF000000"/>
        <sz val="10.0"/>
      </rPr>
      <t>"Show segmentation Result in ImageJ"</t>
    </r>
  </si>
  <si>
    <t>On imageJ main menu, click in Image &gt; Adjust &gt; Threshold &gt; Apply</t>
  </si>
  <si>
    <t>On imageJ main menu, click in Analyze &gt; Analyze Particles &gt; Add to manager</t>
  </si>
  <si>
    <t>Select montage Image Window</t>
  </si>
  <si>
    <t>On ROI manager, click on More &gt; Or (Combine). Yellow outlines will be drawn over original image</t>
  </si>
  <si>
    <t>Confirm again segmentation precision. If needed train model again with more examples.</t>
  </si>
  <si>
    <t>On LabKit Window, click on downwards pointing arrow, click on Save Classifier</t>
  </si>
  <si>
    <t>On LabKit Window, on main Menu, click on Labelling "Save Labelling". This can be used to modify the model if needed.</t>
  </si>
  <si>
    <t>Close the segmented image, ROI manager and LabKit windown</t>
  </si>
  <si>
    <t>Click on previous image</t>
  </si>
  <si>
    <t>Repeat step 5</t>
  </si>
  <si>
    <t>Select the maximum resolution</t>
  </si>
  <si>
    <t>Repeat step 12</t>
  </si>
  <si>
    <r>
      <rPr>
        <rFont val="arial"/>
        <color rgb="FF000000"/>
        <sz val="10.0"/>
      </rPr>
      <t xml:space="preserve">On downwards pointing arrow, click on </t>
    </r>
    <r>
      <rPr>
        <rFont val="arial"/>
        <b/>
        <color rgb="FF000000"/>
        <sz val="10.0"/>
      </rPr>
      <t>Open Classifier</t>
    </r>
  </si>
  <si>
    <t>Load classifier you’ve just made</t>
  </si>
  <si>
    <t>Wait the segmetation to finish (Should be fast)</t>
  </si>
  <si>
    <t>On downwards pointing arrow, click on Show Segmentation Result in ImageJ</t>
  </si>
  <si>
    <t>Repeat steps 17-21. Check if model works well for all image.</t>
  </si>
  <si>
    <t>Repeat for other images of same experiment.</t>
  </si>
  <si>
    <t>B</t>
  </si>
  <si>
    <t>Open labkit_canon.ijm macro or labkit_zeiss.ijm accrodingly. Just draging it to FIJIs window</t>
  </si>
  <si>
    <t>Change model file name and root</t>
  </si>
  <si>
    <t>Confirm that all images are in "Raw" folder and that "Cropped" and "Segmented" folders were created</t>
  </si>
  <si>
    <t>Certificate that all images are numbered starting on "1"</t>
  </si>
  <si>
    <t>Create plate_design.csv file and confirm its path in macro. Use plate_desing.xlsx.</t>
  </si>
  <si>
    <t>Change "i" numbering from loop to process section of images</t>
  </si>
  <si>
    <t>Confirm the scaling on line 56 for images from commercial camera (non automated plate screening)</t>
  </si>
  <si>
    <t>Confirm area size threshold on line 111 (canon) and 98 (zeiss)</t>
  </si>
  <si>
    <t>Create copies of labkit_X.ijm file and use complementary "i" numbering to process more images per minute in a new FIJI window</t>
  </si>
  <si>
    <r>
      <rPr>
        <sz val="10.0"/>
      </rPr>
      <t xml:space="preserve">Use </t>
    </r>
    <r>
      <rPr>
        <color rgb="FF1155CC"/>
        <sz val="10.0"/>
        <u/>
      </rPr>
      <t>fiji.sh</t>
    </r>
    <r>
      <rPr>
        <sz val="10.0"/>
      </rPr>
      <t xml:space="preserve"> script to open new FIJI windows with independent threads</t>
    </r>
  </si>
  <si>
    <t>Monitor RAM usage on your system monitor application</t>
  </si>
  <si>
    <t>You have to create directories in your PC to download the outputs from fiji</t>
  </si>
  <si>
    <r>
      <rPr/>
      <t xml:space="preserve">Use </t>
    </r>
    <r>
      <rPr>
        <color rgb="FF1155CC"/>
        <u/>
      </rPr>
      <t>mknewf.sh</t>
    </r>
    <r>
      <rPr/>
      <t xml:space="preserve"> in your upper directory</t>
    </r>
  </si>
  <si>
    <r>
      <rPr>
        <rFont val="Arial"/>
        <color theme="1"/>
      </rPr>
      <t>Use rsync to transfer the .csv files to the "</t>
    </r>
    <r>
      <rPr>
        <rFont val="Arial"/>
        <b/>
        <color theme="1"/>
      </rPr>
      <t>results"</t>
    </r>
    <r>
      <rPr>
        <rFont val="Arial"/>
        <color theme="1"/>
      </rPr>
      <t xml:space="preserve"> folder. You dont need to transfer the other files now.</t>
    </r>
  </si>
  <si>
    <t>Check if the file names follow date-name-well structure: "251218_img_C3_". The well ID must be the third element between underscores</t>
  </si>
  <si>
    <t>In R, open the gr384_logfit_240w.R script</t>
  </si>
  <si>
    <t>On line 21, adjust the plate numbering as needed. The script can process multiple plates simultaneously.</t>
  </si>
  <si>
    <t>On line 24 check if the upper directory is correct</t>
  </si>
  <si>
    <t>on line 34, check if the plate design file name is correct</t>
  </si>
  <si>
    <t>It is essencial that the plate_design.csv is well prepared and with the same structure for all plates.</t>
  </si>
  <si>
    <t>It is essencial to fill up empty cells with "NA". This facilitates R processing and reduce errors.</t>
  </si>
  <si>
    <t>On line 61, change the names of the columns accordingly to your experiment metadata table</t>
  </si>
  <si>
    <t>Do the same in lines 88 and  93</t>
  </si>
  <si>
    <t>Select all script from line 510 to line 0. Press ctrl+enter.</t>
  </si>
  <si>
    <t>A plateplot should popup on right screen with the growth curves for each plate</t>
  </si>
  <si>
    <t>name</t>
  </si>
  <si>
    <t>function</t>
  </si>
  <si>
    <t>code</t>
  </si>
  <si>
    <t>usage</t>
  </si>
  <si>
    <t>example</t>
  </si>
  <si>
    <t>mknewf.sh</t>
  </si>
  <si>
    <t>create "raw", "croped" and "segmented" folders at once</t>
  </si>
  <si>
    <t>mkdir -p $2/$1/raw $2/$1/croped $2/$1/segmented</t>
  </si>
  <si>
    <r>
      <rPr/>
      <t xml:space="preserve">bash </t>
    </r>
    <r>
      <rPr>
        <color rgb="FF1155CC"/>
        <u/>
      </rPr>
      <t>mknewf.sh</t>
    </r>
    <r>
      <rPr/>
      <t xml:space="preserve"> "current date" "plate"</t>
    </r>
  </si>
  <si>
    <r>
      <rPr/>
      <t xml:space="preserve">bash </t>
    </r>
    <r>
      <rPr>
        <color rgb="FF1155CC"/>
        <u/>
      </rPr>
      <t>mknewf.sh</t>
    </r>
    <r>
      <rPr/>
      <t xml:space="preserve"> 251117 plate62</t>
    </r>
  </si>
  <si>
    <t>fiji.sh</t>
  </si>
  <si>
    <t>opens fiji using exclusive cores. Use when opening 6 fiji windows paralely</t>
  </si>
  <si>
    <t>fiji=/home/gareth/Downloads/fiji-linux64/Fiji.app/ImageJ-linux64</t>
  </si>
  <si>
    <r>
      <rPr/>
      <t xml:space="preserve">bash </t>
    </r>
    <r>
      <rPr>
        <color rgb="FF1155CC"/>
        <u/>
      </rPr>
      <t>fiji.sh</t>
    </r>
    <r>
      <rPr/>
      <t xml:space="preserve"> "number of cores"</t>
    </r>
  </si>
  <si>
    <r>
      <rPr/>
      <t xml:space="preserve">bash </t>
    </r>
    <r>
      <rPr>
        <color rgb="FF1155CC"/>
        <u/>
      </rPr>
      <t>fiji.sh</t>
    </r>
    <r>
      <rPr/>
      <t xml:space="preserve"> 15</t>
    </r>
  </si>
  <si>
    <t>taskset -c $(shuf -i 0-$(($(nproc --all)-1)) -n $1 | paste -sd ,) $fiji</t>
  </si>
  <si>
    <t>copy all folders from Grendel excluding some</t>
  </si>
  <si>
    <t>rsync -av --exclude '*/raw/' --exclude '*/croped/' --exclude '*/segmented/zip/' gareth@10.36.4.90:/media/Disk1/brigitta/*plate* .</t>
  </si>
  <si>
    <t>copy all.csv files from an upper folder</t>
  </si>
  <si>
    <t>rsync -av --exclude='*/raw/***' --exclude='*/croped/***' --include='*/' --include='*/segmented/*.csv' --exclude='*' gareth@10.36.4.90:/media/Disk1/brigitta/ .</t>
  </si>
  <si>
    <t>rename files from 1 to n</t>
  </si>
  <si>
    <t>ls | cat -n | while read n f; do mv "$f" `printf "DSC_%04d.JPG" $n`; done</t>
  </si>
  <si>
    <t>transfer files from Grendel to your pc.</t>
  </si>
  <si>
    <t>rsync -av gareth@10.36.4.90:/media/Disk1/myrsini/384plates/plate1/251118/segmented/*.csv .</t>
  </si>
  <si>
    <t>transfer the plate_design.csv file to each plate directory</t>
  </si>
  <si>
    <t xml:space="preserve"> scp gareth@10.36.4.90:/media/Disk1/brigitta/plate4/plate_design_vsi.csv .</t>
  </si>
  <si>
    <t>erase just a slot between underscores from all files name</t>
  </si>
  <si>
    <t>for f in *_segmented_Results.csv; do mv "$f" "${f/_20251205/}";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</si>
</sst>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color theme="1"/>
      <name val="Arial"/>
    </font>
    <font/>
    <font>
      <u/>
      <color rgb="FF0000FF"/>
    </font>
    <font>
      <b/>
      <u/>
      <color rgb="FF0000FF"/>
      <name val="Arial"/>
    </font>
    <font>
      <b/>
      <u/>
      <sz val="10.0"/>
      <color rgb="FF0000FF"/>
      <name val="Arial"/>
    </font>
    <font>
      <b/>
      <u/>
      <color rgb="FF1155CC"/>
      <name val="Arial"/>
    </font>
    <font>
      <b/>
      <u/>
      <color rgb="FF1155CC"/>
      <name val="Arial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color rgb="FF000000"/>
      <name val="Arial"/>
    </font>
    <font>
      <b/>
      <u/>
      <sz val="10.0"/>
      <color rgb="FF000000"/>
      <name val="Arial"/>
    </font>
    <font>
      <color rgb="FF000000"/>
      <name val="Arial"/>
    </font>
    <font>
      <b/>
      <sz val="10.0"/>
      <color rgb="FFFF0000"/>
      <name val="Arial"/>
    </font>
    <font>
      <u/>
      <sz val="10.0"/>
      <color rgb="FF000000"/>
      <name val="Arial"/>
    </font>
    <font>
      <u/>
      <color rgb="FF000000"/>
      <name val="Arial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sz val="10.0"/>
      <color rgb="FF000000"/>
      <name val="Arial"/>
    </font>
    <font>
      <b/>
      <u/>
      <color rgb="FF0000FF"/>
    </font>
    <font>
      <u/>
      <sz val="10.0"/>
      <color rgb="FF000000"/>
      <name val="Arial"/>
    </font>
    <font>
      <u/>
      <color rgb="FF0000FF"/>
    </font>
    <font>
      <u/>
      <sz val="10.0"/>
      <color rgb="FF000000"/>
      <name val="Arial"/>
    </font>
    <font>
      <u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5" fillId="0" fontId="1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5" fillId="0" fontId="2" numFmtId="0" xfId="0" applyBorder="1" applyFont="1"/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center" wrapText="1"/>
    </xf>
    <xf borderId="6" fillId="0" fontId="6" numFmtId="0" xfId="0" applyAlignment="1" applyBorder="1" applyFont="1">
      <alignment vertical="bottom"/>
    </xf>
    <xf borderId="6" fillId="0" fontId="2" numFmtId="0" xfId="0" applyBorder="1" applyFont="1"/>
    <xf borderId="7" fillId="0" fontId="2" numFmtId="0" xfId="0" applyBorder="1" applyFont="1"/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9" numFmtId="0" xfId="0" applyAlignment="1" applyFont="1">
      <alignment readingOrder="0"/>
    </xf>
    <xf borderId="8" fillId="0" fontId="10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12" fillId="0" fontId="12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12" fillId="0" fontId="13" numFmtId="0" xfId="0" applyBorder="1" applyFont="1"/>
    <xf borderId="12" fillId="0" fontId="14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/>
    </xf>
    <xf borderId="12" fillId="0" fontId="12" numFmtId="0" xfId="0" applyAlignment="1" applyBorder="1" applyFont="1">
      <alignment horizontal="left" readingOrder="0" vertical="center"/>
    </xf>
    <xf borderId="12" fillId="0" fontId="12" numFmtId="0" xfId="0" applyAlignment="1" applyBorder="1" applyFont="1">
      <alignment horizontal="left" readingOrder="0" vertical="center"/>
    </xf>
    <xf borderId="12" fillId="0" fontId="12" numFmtId="0" xfId="0" applyAlignment="1" applyBorder="1" applyFont="1">
      <alignment horizontal="left" readingOrder="0" vertical="center"/>
    </xf>
    <xf borderId="11" fillId="0" fontId="10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2" numFmtId="0" xfId="0" applyFont="1"/>
    <xf borderId="8" fillId="0" fontId="1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center" readingOrder="0" vertical="bottom"/>
    </xf>
    <xf borderId="12" fillId="0" fontId="16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 vertical="bottom"/>
    </xf>
    <xf borderId="12" fillId="2" fontId="16" numFmtId="0" xfId="0" applyAlignment="1" applyBorder="1" applyFill="1" applyFont="1">
      <alignment horizontal="center" readingOrder="0"/>
    </xf>
    <xf borderId="11" fillId="0" fontId="10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textRotation="255" vertical="center"/>
    </xf>
    <xf borderId="13" fillId="0" fontId="9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readingOrder="0"/>
    </xf>
    <xf borderId="9" fillId="0" fontId="9" numFmtId="0" xfId="0" applyAlignment="1" applyBorder="1" applyFont="1">
      <alignment readingOrder="0"/>
    </xf>
    <xf borderId="10" fillId="0" fontId="9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/>
    </xf>
    <xf borderId="11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/>
    </xf>
    <xf borderId="6" fillId="0" fontId="9" numFmtId="0" xfId="0" applyAlignment="1" applyBorder="1" applyFont="1">
      <alignment readingOrder="0"/>
    </xf>
    <xf borderId="7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horizontal="center"/>
    </xf>
    <xf borderId="8" fillId="0" fontId="17" numFmtId="0" xfId="0" applyAlignment="1" applyBorder="1" applyFont="1">
      <alignment horizontal="center" readingOrder="0" shrinkToFit="0" vertical="center" wrapText="1"/>
    </xf>
    <xf borderId="12" fillId="0" fontId="13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textRotation="255" vertical="center"/>
    </xf>
    <xf borderId="10" fillId="0" fontId="8" numFmtId="0" xfId="0" applyAlignment="1" applyBorder="1" applyFont="1">
      <alignment horizontal="center" readingOrder="0"/>
    </xf>
    <xf borderId="2" fillId="0" fontId="9" numFmtId="0" xfId="0" applyAlignment="1" applyBorder="1" applyFont="1">
      <alignment readingOrder="0"/>
    </xf>
    <xf borderId="14" fillId="0" fontId="9" numFmtId="0" xfId="0" applyAlignment="1" applyBorder="1" applyFont="1">
      <alignment horizontal="center" readingOrder="0"/>
    </xf>
    <xf borderId="14" fillId="0" fontId="9" numFmtId="0" xfId="0" applyAlignment="1" applyBorder="1" applyFont="1">
      <alignment horizontal="center"/>
    </xf>
    <xf borderId="9" fillId="0" fontId="10" numFmtId="0" xfId="0" applyAlignment="1" applyBorder="1" applyFont="1">
      <alignment readingOrder="0"/>
    </xf>
    <xf borderId="13" fillId="0" fontId="9" numFmtId="0" xfId="0" applyAlignment="1" applyBorder="1" applyFont="1">
      <alignment horizontal="center"/>
    </xf>
    <xf borderId="8" fillId="0" fontId="10" numFmtId="0" xfId="0" applyAlignment="1" applyBorder="1" applyFont="1">
      <alignment readingOrder="0"/>
    </xf>
    <xf borderId="12" fillId="2" fontId="18" numFmtId="0" xfId="0" applyAlignment="1" applyBorder="1" applyFont="1">
      <alignment horizontal="left" readingOrder="0"/>
    </xf>
    <xf borderId="4" fillId="0" fontId="9" numFmtId="0" xfId="0" applyAlignment="1" applyBorder="1" applyFont="1">
      <alignment horizontal="center"/>
    </xf>
    <xf borderId="12" fillId="0" fontId="19" numFmtId="0" xfId="0" applyAlignment="1" applyBorder="1" applyFont="1">
      <alignment readingOrder="0"/>
    </xf>
    <xf borderId="12" fillId="3" fontId="10" numFmtId="0" xfId="0" applyAlignment="1" applyBorder="1" applyFill="1" applyFont="1">
      <alignment readingOrder="0"/>
    </xf>
    <xf borderId="4" fillId="0" fontId="9" numFmtId="0" xfId="0" applyAlignment="1" applyBorder="1" applyFont="1">
      <alignment horizontal="center" readingOrder="0"/>
    </xf>
    <xf borderId="12" fillId="3" fontId="18" numFmtId="0" xfId="0" applyAlignment="1" applyBorder="1" applyFont="1">
      <alignment horizontal="left" readingOrder="0"/>
    </xf>
    <xf borderId="12" fillId="0" fontId="10" numFmtId="0" xfId="0" applyAlignment="1" applyBorder="1" applyFont="1">
      <alignment readingOrder="0"/>
    </xf>
    <xf borderId="15" fillId="0" fontId="9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3" fontId="10" numFmtId="0" xfId="0" applyAlignment="1" applyFont="1">
      <alignment readingOrder="0"/>
    </xf>
    <xf borderId="7" fillId="0" fontId="8" numFmtId="0" xfId="0" applyAlignment="1" applyBorder="1" applyFont="1">
      <alignment horizontal="center" readingOrder="0"/>
    </xf>
    <xf borderId="6" fillId="3" fontId="18" numFmtId="0" xfId="0" applyAlignment="1" applyBorder="1" applyFont="1">
      <alignment horizontal="left" readingOrder="0"/>
    </xf>
    <xf borderId="9" fillId="0" fontId="8" numFmtId="0" xfId="0" applyAlignment="1" applyBorder="1" applyFont="1">
      <alignment readingOrder="0"/>
    </xf>
    <xf borderId="12" fillId="0" fontId="20" numFmtId="0" xfId="0" applyAlignment="1" applyBorder="1" applyFont="1">
      <alignment readingOrder="0"/>
    </xf>
    <xf borderId="11" fillId="2" fontId="21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1" fillId="0" fontId="13" numFmtId="0" xfId="0" applyAlignment="1" applyBorder="1" applyFont="1">
      <alignment readingOrder="0" vertical="bottom"/>
    </xf>
    <xf borderId="11" fillId="0" fontId="10" numFmtId="0" xfId="0" applyAlignment="1" applyBorder="1" applyFont="1">
      <alignment horizontal="left" readingOrder="0"/>
    </xf>
    <xf borderId="0" fillId="0" fontId="8" numFmtId="0" xfId="0" applyAlignment="1" applyFont="1">
      <alignment horizontal="center" readingOrder="0" textRotation="255" vertical="center"/>
    </xf>
    <xf borderId="0" fillId="0" fontId="9" numFmtId="0" xfId="0" applyAlignment="1" applyFont="1">
      <alignment horizontal="center" readingOrder="0"/>
    </xf>
    <xf borderId="12" fillId="0" fontId="2" numFmtId="0" xfId="0" applyBorder="1" applyFont="1"/>
    <xf borderId="10" fillId="0" fontId="9" numFmtId="0" xfId="0" applyAlignment="1" applyBorder="1" applyFont="1">
      <alignment horizontal="center"/>
    </xf>
    <xf borderId="6" fillId="0" fontId="10" numFmtId="0" xfId="0" applyAlignment="1" applyBorder="1" applyFont="1">
      <alignment readingOrder="0"/>
    </xf>
    <xf borderId="6" fillId="0" fontId="22" numFmtId="0" xfId="0" applyAlignment="1" applyBorder="1" applyFont="1">
      <alignment readingOrder="0"/>
    </xf>
    <xf borderId="0" fillId="0" fontId="9" numFmtId="0" xfId="0" applyFont="1"/>
    <xf borderId="8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4" fillId="0" fontId="23" numFmtId="0" xfId="0" applyAlignment="1" applyBorder="1" applyFont="1">
      <alignment horizontal="center" readingOrder="0"/>
    </xf>
    <xf borderId="9" fillId="0" fontId="24" numFmtId="0" xfId="0" applyAlignment="1" applyBorder="1" applyFont="1">
      <alignment readingOrder="0"/>
    </xf>
    <xf borderId="0" fillId="2" fontId="18" numFmtId="0" xfId="0" applyAlignment="1" applyFont="1">
      <alignment horizontal="left" readingOrder="0"/>
    </xf>
    <xf borderId="8" fillId="0" fontId="23" numFmtId="0" xfId="0" applyAlignment="1" applyBorder="1" applyFont="1">
      <alignment horizontal="center" readingOrder="0" vertical="center"/>
    </xf>
    <xf borderId="12" fillId="0" fontId="23" numFmtId="0" xfId="0" applyAlignment="1" applyBorder="1" applyFont="1">
      <alignment horizontal="center" readingOrder="0" vertical="center"/>
    </xf>
    <xf borderId="11" fillId="0" fontId="23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/>
    </xf>
    <xf borderId="1" fillId="0" fontId="25" numFmtId="0" xfId="0" applyAlignment="1" applyBorder="1" applyFont="1">
      <alignment readingOrder="0"/>
    </xf>
    <xf borderId="3" fillId="0" fontId="9" numFmtId="0" xfId="0" applyAlignment="1" applyBorder="1" applyFont="1">
      <alignment horizontal="center"/>
    </xf>
    <xf borderId="1" fillId="0" fontId="23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2" fillId="0" fontId="26" numFmtId="0" xfId="0" applyAlignment="1" applyBorder="1" applyFont="1">
      <alignment readingOrder="0"/>
    </xf>
    <xf borderId="11" fillId="0" fontId="9" numFmtId="0" xfId="0" applyAlignment="1" applyBorder="1" applyFont="1">
      <alignment horizontal="right" readingOrder="0"/>
    </xf>
    <xf borderId="7" fillId="0" fontId="9" numFmtId="0" xfId="0" applyBorder="1" applyFont="1"/>
    <xf borderId="11" fillId="0" fontId="13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8" fillId="0" fontId="9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11" fillId="0" fontId="9" numFmtId="0" xfId="0" applyAlignment="1" applyBorder="1" applyFont="1">
      <alignment readingOrder="0"/>
    </xf>
    <xf borderId="11" fillId="0" fontId="28" numFmtId="0" xfId="0" applyAlignment="1" applyBorder="1" applyFont="1">
      <alignment readingOrder="0"/>
    </xf>
    <xf borderId="1" fillId="0" fontId="9" numFmtId="0" xfId="0" applyAlignment="1" applyBorder="1" applyFont="1">
      <alignment horizontal="right" readingOrder="0"/>
    </xf>
    <xf borderId="3" fillId="0" fontId="9" numFmtId="0" xfId="0" applyBorder="1" applyFont="1"/>
    <xf borderId="1" fillId="0" fontId="13" numFmtId="0" xfId="0" applyAlignment="1" applyBorder="1" applyFont="1">
      <alignment readingOrder="0" vertical="bottom"/>
    </xf>
    <xf borderId="10" fillId="0" fontId="10" numFmtId="0" xfId="0" applyAlignment="1" applyBorder="1" applyFont="1">
      <alignment readingOrder="0"/>
    </xf>
    <xf borderId="11" fillId="0" fontId="10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5" fillId="0" fontId="23" numFmtId="0" xfId="0" applyAlignment="1" applyBorder="1" applyFont="1">
      <alignment horizontal="center" readingOrder="0"/>
    </xf>
    <xf borderId="0" fillId="0" fontId="10" numFmtId="0" xfId="0" applyAlignment="1" applyFont="1">
      <alignment readingOrder="0" shrinkToFit="0" wrapText="1"/>
    </xf>
    <xf borderId="7" fillId="0" fontId="23" numFmtId="0" xfId="0" applyAlignment="1" applyBorder="1" applyFont="1">
      <alignment horizontal="center" readingOrder="0"/>
    </xf>
    <xf borderId="6" fillId="0" fontId="10" numFmtId="0" xfId="0" applyAlignment="1" applyBorder="1" applyFont="1">
      <alignment readingOrder="0" shrinkToFit="0" wrapText="1"/>
    </xf>
    <xf borderId="2" fillId="3" fontId="29" numFmtId="0" xfId="0" applyAlignment="1" applyBorder="1" applyFont="1">
      <alignment readingOrder="0" shrinkToFit="0" wrapText="1"/>
    </xf>
    <xf borderId="13" fillId="0" fontId="23" numFmtId="0" xfId="0" applyAlignment="1" applyBorder="1" applyFont="1">
      <alignment horizontal="center" readingOrder="0"/>
    </xf>
    <xf borderId="15" fillId="0" fontId="23" numFmtId="0" xfId="0" applyAlignment="1" applyBorder="1" applyFont="1">
      <alignment horizontal="center" readingOrder="0"/>
    </xf>
    <xf borderId="9" fillId="2" fontId="18" numFmtId="0" xfId="0" applyAlignment="1" applyBorder="1" applyFont="1">
      <alignment horizontal="left" readingOrder="0"/>
    </xf>
    <xf borderId="9" fillId="3" fontId="9" numFmtId="0" xfId="0" applyAlignment="1" applyBorder="1" applyFont="1">
      <alignment readingOrder="0"/>
    </xf>
    <xf borderId="0" fillId="3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6" fillId="0" fontId="30" numFmtId="0" xfId="0" applyAlignment="1" applyBorder="1" applyFont="1">
      <alignment readingOrder="0" shrinkToFit="0" wrapText="1"/>
    </xf>
    <xf borderId="5" fillId="0" fontId="9" numFmtId="0" xfId="0" applyBorder="1" applyFont="1"/>
    <xf borderId="1" fillId="0" fontId="1" numFmtId="0" xfId="0" applyAlignment="1" applyBorder="1" applyFont="1">
      <alignment horizontal="center" readingOrder="0" vertical="bottom"/>
    </xf>
    <xf borderId="11" fillId="0" fontId="23" numFmtId="0" xfId="0" applyAlignment="1" applyBorder="1" applyFont="1">
      <alignment horizontal="right" readingOrder="0" vertical="center"/>
    </xf>
    <xf borderId="8" fillId="0" fontId="3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readingOrder="0" vertical="bottom"/>
    </xf>
    <xf borderId="13" fillId="0" fontId="32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left" readingOrder="0" vertical="bottom"/>
    </xf>
    <xf borderId="10" fillId="0" fontId="12" numFmtId="0" xfId="0" applyAlignment="1" applyBorder="1" applyFont="1">
      <alignment horizontal="left" vertical="bottom"/>
    </xf>
    <xf borderId="0" fillId="0" fontId="10" numFmtId="0" xfId="0" applyAlignment="1" applyFont="1">
      <alignment horizontal="left" readingOrder="0" vertical="bottom"/>
    </xf>
    <xf borderId="5" fillId="0" fontId="12" numFmtId="0" xfId="0" applyAlignment="1" applyBorder="1" applyFont="1">
      <alignment horizontal="left" vertical="bottom"/>
    </xf>
    <xf borderId="5" fillId="0" fontId="10" numFmtId="0" xfId="0" applyAlignment="1" applyBorder="1" applyFont="1">
      <alignment horizontal="left" readingOrder="0" vertical="bottom"/>
    </xf>
    <xf borderId="5" fillId="0" fontId="12" numFmtId="0" xfId="0" applyAlignment="1" applyBorder="1" applyFont="1">
      <alignment horizontal="center" vertical="bottom"/>
    </xf>
    <xf borderId="0" fillId="0" fontId="10" numFmtId="0" xfId="0" applyAlignment="1" applyFont="1">
      <alignment horizontal="left" readingOrder="0"/>
    </xf>
    <xf borderId="7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0" fillId="2" fontId="10" numFmtId="0" xfId="0" applyAlignment="1" applyFont="1">
      <alignment horizontal="left" readingOrder="0" vertical="bottom"/>
    </xf>
    <xf borderId="0" fillId="2" fontId="13" numFmtId="0" xfId="0" applyAlignment="1" applyFont="1">
      <alignment readingOrder="0" vertical="bottom"/>
    </xf>
    <xf borderId="10" fillId="0" fontId="10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 readingOrder="0" vertical="bottom"/>
    </xf>
    <xf borderId="8" fillId="0" fontId="33" numFmtId="0" xfId="0" applyAlignment="1" applyBorder="1" applyFont="1">
      <alignment horizontal="center" readingOrder="0" vertical="center"/>
    </xf>
    <xf borderId="10" fillId="0" fontId="33" numFmtId="0" xfId="0" applyBorder="1" applyFont="1"/>
    <xf borderId="9" fillId="0" fontId="32" numFmtId="0" xfId="0" applyAlignment="1" applyBorder="1" applyFont="1">
      <alignment readingOrder="0"/>
    </xf>
    <xf borderId="0" fillId="0" fontId="32" numFmtId="0" xfId="0" applyFont="1"/>
    <xf borderId="5" fillId="0" fontId="33" numFmtId="0" xfId="0" applyBorder="1" applyFont="1"/>
    <xf borderId="0" fillId="0" fontId="32" numFmtId="0" xfId="0" applyAlignment="1" applyFont="1">
      <alignment readingOrder="0"/>
    </xf>
    <xf borderId="0" fillId="0" fontId="34" numFmtId="0" xfId="0" applyAlignment="1" applyFont="1">
      <alignment readingOrder="0"/>
    </xf>
    <xf borderId="6" fillId="0" fontId="32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1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6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yrsini L" id="{b4050b9d-b722-4725-bc3d-f1d4ed718ac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8" dT="2025-12-20T20:08:27.00" personId="{b4050b9d-b722-4725-bc3d-f1d4ed718acc}" id="{fc4f2bb8-c9f0-4c2e-b9d0-454c3ddf97c2}" done="1">
    <x18tc:text xml:space="preserve">I think we have the plates at 18oC</x18tc:text>
  </x18tc:threadedComment>
  <x18tc:threadedComment ref="C24" dT="2025-12-20T20:01:14.00" personId="{b4050b9d-b722-4725-bc3d-f1d4ed718acc}" id="{1490f60f-8311-498c-bae7-9278910431ca}" done="1">
    <x18tc:text xml:space="preserve">3 times maybe?</x18tc:text>
  </x18tc:threadedComment>
  <x18tc:threadedComment ref="C19" dT="2025-12-20T20:05:31.00" personId="{b4050b9d-b722-4725-bc3d-f1d4ed718acc}" id="{a670446a-316e-4bc0-8615-f0b2119959e6}" done="1">
    <x18tc:text xml:space="preserve">with 500μl of WB?</x18tc:text>
  </x18tc:threadedComment>
  <x18tc:threadedComment ref="C19" dT="2025-12-20T20:06:13.00" personId="{b4050b9d-b722-4725-bc3d-f1d4ed718acc}" id="{2bec83b8-83dd-4b87-a552-d0e1181448e5}" parentId="{a670446a-316e-4bc0-8615-f0b2119959e6}">
    <x18tc:text xml:space="preserve">vortex, centrifuge, discard, add 500μl and then the beads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mmons.uconn.edu/seagrant_weedcult/1/" TargetMode="External"/><Relationship Id="rId10" Type="http://schemas.openxmlformats.org/officeDocument/2006/relationships/hyperlink" Target="https://www.thermofisher.com/order/catalog/product/164688?SID=srch-hj-164688" TargetMode="External"/><Relationship Id="rId13" Type="http://schemas.openxmlformats.org/officeDocument/2006/relationships/hyperlink" Target="https://www.ncbi.nlm.nih.gov/books/NBK558077/" TargetMode="External"/><Relationship Id="rId12" Type="http://schemas.openxmlformats.org/officeDocument/2006/relationships/hyperlink" Target="https://www.ncbi.nlm.nih.gov/books/NBK558077/" TargetMode="External"/><Relationship Id="rId1" Type="http://schemas.openxmlformats.org/officeDocument/2006/relationships/hyperlink" Target="https://ecatalog.corning.com/life-sciences/b2c/US/en/Genomics-&amp;-Molecular-Biology/PCR-Consumables/Storage-and-Sealing-Mats/Axygen%C2%AE-Sealing-Mats-for-Assay-and-Storage-Microplates/p/AM-384-DW-SQ" TargetMode="External"/><Relationship Id="rId2" Type="http://schemas.openxmlformats.org/officeDocument/2006/relationships/hyperlink" Target="https://www.sigmaaldrich.com/PT/en/product/sigma/axyt1005wbc" TargetMode="External"/><Relationship Id="rId3" Type="http://schemas.openxmlformats.org/officeDocument/2006/relationships/hyperlink" Target="https://www.zeiss.com/microscopy/en/products/light-microscopes/widefield-microscopes/axio-observer-for-life-science-research.html" TargetMode="External"/><Relationship Id="rId4" Type="http://schemas.openxmlformats.org/officeDocument/2006/relationships/hyperlink" Target="https://www.fishersci.pt/shop/products/sterile-inoculation-loop/10707682" TargetMode="External"/><Relationship Id="rId9" Type="http://schemas.openxmlformats.org/officeDocument/2006/relationships/hyperlink" Target="https://www.eppendorf.com/us-en/eShop-Products/Laboratory-Consumables/Tubes/Eppendorf-Safe-Lock-Tubes-p-0030123620" TargetMode="External"/><Relationship Id="rId15" Type="http://schemas.openxmlformats.org/officeDocument/2006/relationships/hyperlink" Target="https://www.ncbi.nlm.nih.gov/books/NBK558077/" TargetMode="External"/><Relationship Id="rId14" Type="http://schemas.openxmlformats.org/officeDocument/2006/relationships/hyperlink" Target="https://us.vwr.com/store/product/40987858/axygen-sealing-mats-for-assay-and-storage-microplates-corning" TargetMode="External"/><Relationship Id="rId17" Type="http://schemas.openxmlformats.org/officeDocument/2006/relationships/hyperlink" Target="https://academic.oup.com/aob/article/114/6/1203/2769104" TargetMode="External"/><Relationship Id="rId16" Type="http://schemas.openxmlformats.org/officeDocument/2006/relationships/hyperlink" Target="https://www.nature.com/articles/s41587-023-01674-2" TargetMode="External"/><Relationship Id="rId5" Type="http://schemas.openxmlformats.org/officeDocument/2006/relationships/hyperlink" Target="https://www.fishersci.co.uk/shop/products/easystrainer-cell-strainer-50-ml/p-7221209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tropic-marin-smartinfo.com/classic?lang=pt" TargetMode="External"/><Relationship Id="rId18" Type="http://schemas.openxmlformats.org/officeDocument/2006/relationships/hyperlink" Target="https://www.degruyter.com/document/doi/10.1515/bchm2.1913.83.3.171/html" TargetMode="External"/><Relationship Id="rId7" Type="http://schemas.openxmlformats.org/officeDocument/2006/relationships/hyperlink" Target="https://www.amazon.com/TRYMAG-Different-Neodymium-Refrigerator-Whiteboard/dp/B09WZTSQ9Y/ref=sr_1_1_sspa?hvadid=616863384924&amp;hvdev=c&amp;hvlocphy=9018836&amp;hvnetw=g&amp;hvqmt=e&amp;hvrand=1375668784998027599&amp;hvtargid=kwd-4458753227&amp;hydadcr=24659_13611768&amp;keywords=neodymium%2Bmagnet&amp;qid=1682634365&amp;sr=8-1-spons&amp;spLa=ZW5jcnlwdGVkUXVhbGlmaWVyPUEyNjhISDFMTUJSUEZJJmVuY3J5cHRlZElkPUEwODgzNTg3MkRYWjBRRDdUMFAzRCZlbmNyeXB0ZWRBZElkPUEwMzA0NjQyMVo4NDJGRkgxRVE0OSZ3aWRnZXROYW1lPXNwX2F0ZiZhY3Rpb249Y2xpY2tSZWRpcmVjdCZkb05vdExvZ0NsaWNrPXRydWU&amp;th=1" TargetMode="External"/><Relationship Id="rId8" Type="http://schemas.openxmlformats.org/officeDocument/2006/relationships/hyperlink" Target="https://imagej.net/software/fij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mknewf.sh/" TargetMode="External"/><Relationship Id="rId2" Type="http://schemas.openxmlformats.org/officeDocument/2006/relationships/hyperlink" Target="http://mknewf.sh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fiji.sh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mknewf.sh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mknewf.sh/" TargetMode="External"/><Relationship Id="rId2" Type="http://schemas.openxmlformats.org/officeDocument/2006/relationships/hyperlink" Target="http://mknewf.sh/" TargetMode="External"/><Relationship Id="rId3" Type="http://schemas.openxmlformats.org/officeDocument/2006/relationships/hyperlink" Target="http://mknewf.sh/" TargetMode="External"/><Relationship Id="rId4" Type="http://schemas.openxmlformats.org/officeDocument/2006/relationships/hyperlink" Target="http://fiji.sh/" TargetMode="External"/><Relationship Id="rId5" Type="http://schemas.openxmlformats.org/officeDocument/2006/relationships/hyperlink" Target="http://fiji.sh/" TargetMode="External"/><Relationship Id="rId6" Type="http://schemas.openxmlformats.org/officeDocument/2006/relationships/hyperlink" Target="http://fiji.sh/" TargetMode="External"/><Relationship Id="rId7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4.13"/>
    <col customWidth="1" min="5" max="5" width="16.13"/>
    <col customWidth="1" min="6" max="6" width="2.88"/>
    <col customWidth="1" min="8" max="8" width="13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>
        <v>1.0</v>
      </c>
      <c r="B2" s="5" t="s">
        <v>1</v>
      </c>
      <c r="F2" s="6">
        <v>13.0</v>
      </c>
      <c r="G2" s="7" t="s">
        <v>2</v>
      </c>
    </row>
    <row r="3" ht="15.75" customHeight="1">
      <c r="A3" s="4">
        <f t="shared" ref="A3:A13" si="1">A2+1</f>
        <v>2</v>
      </c>
      <c r="B3" s="5" t="s">
        <v>3</v>
      </c>
      <c r="E3" s="8"/>
      <c r="F3" s="6">
        <f t="shared" ref="F3:F14" si="2">F2+1</f>
        <v>14</v>
      </c>
      <c r="G3" s="9" t="s">
        <v>4</v>
      </c>
      <c r="J3" s="8"/>
    </row>
    <row r="4" ht="15.75" customHeight="1">
      <c r="A4" s="4">
        <f t="shared" si="1"/>
        <v>3</v>
      </c>
      <c r="B4" s="5" t="s">
        <v>5</v>
      </c>
      <c r="E4" s="8"/>
      <c r="F4" s="6">
        <f t="shared" si="2"/>
        <v>15</v>
      </c>
      <c r="G4" s="10" t="s">
        <v>6</v>
      </c>
      <c r="J4" s="8"/>
    </row>
    <row r="5" ht="15.75" customHeight="1">
      <c r="A5" s="4">
        <f t="shared" si="1"/>
        <v>4</v>
      </c>
      <c r="B5" s="9" t="s">
        <v>7</v>
      </c>
      <c r="E5" s="8"/>
      <c r="F5" s="6">
        <f t="shared" si="2"/>
        <v>16</v>
      </c>
      <c r="G5" s="11" t="s">
        <v>8</v>
      </c>
    </row>
    <row r="6" ht="15.75" customHeight="1">
      <c r="A6" s="4">
        <f t="shared" si="1"/>
        <v>5</v>
      </c>
      <c r="B6" s="5" t="s">
        <v>9</v>
      </c>
      <c r="E6" s="8"/>
      <c r="F6" s="6">
        <f t="shared" si="2"/>
        <v>17</v>
      </c>
      <c r="G6" s="9" t="s">
        <v>10</v>
      </c>
      <c r="J6" s="8"/>
    </row>
    <row r="7" ht="15.75" customHeight="1">
      <c r="A7" s="4">
        <f t="shared" si="1"/>
        <v>6</v>
      </c>
      <c r="B7" s="5" t="s">
        <v>11</v>
      </c>
      <c r="E7" s="8"/>
      <c r="F7" s="6">
        <f t="shared" si="2"/>
        <v>18</v>
      </c>
      <c r="G7" s="5" t="s">
        <v>12</v>
      </c>
      <c r="J7" s="8"/>
    </row>
    <row r="8" ht="15.75" customHeight="1">
      <c r="A8" s="4">
        <f t="shared" si="1"/>
        <v>7</v>
      </c>
      <c r="B8" s="9" t="s">
        <v>13</v>
      </c>
      <c r="E8" s="8"/>
      <c r="F8" s="6">
        <f t="shared" si="2"/>
        <v>19</v>
      </c>
      <c r="G8" s="12" t="s">
        <v>14</v>
      </c>
      <c r="H8" s="13"/>
      <c r="I8" s="13"/>
      <c r="J8" s="14"/>
    </row>
    <row r="9" ht="15.75" customHeight="1">
      <c r="A9" s="4">
        <f t="shared" si="1"/>
        <v>8</v>
      </c>
      <c r="B9" s="5" t="s">
        <v>15</v>
      </c>
      <c r="E9" s="8"/>
      <c r="F9" s="6">
        <f t="shared" si="2"/>
        <v>20</v>
      </c>
      <c r="G9" s="5" t="s">
        <v>16</v>
      </c>
      <c r="J9" s="8"/>
    </row>
    <row r="10" ht="15.75" customHeight="1">
      <c r="A10" s="4">
        <f t="shared" si="1"/>
        <v>9</v>
      </c>
      <c r="B10" s="5" t="s">
        <v>17</v>
      </c>
      <c r="E10" s="8"/>
      <c r="F10" s="6">
        <f t="shared" si="2"/>
        <v>21</v>
      </c>
      <c r="G10" s="10" t="s">
        <v>18</v>
      </c>
      <c r="J10" s="8"/>
    </row>
    <row r="11" ht="15.75" customHeight="1">
      <c r="A11" s="4">
        <f t="shared" si="1"/>
        <v>10</v>
      </c>
      <c r="B11" s="10" t="s">
        <v>19</v>
      </c>
      <c r="E11" s="8"/>
      <c r="F11" s="6">
        <f t="shared" si="2"/>
        <v>22</v>
      </c>
      <c r="G11" s="15" t="s">
        <v>20</v>
      </c>
      <c r="J11" s="8"/>
    </row>
    <row r="12" ht="15.75" customHeight="1">
      <c r="A12" s="4">
        <f t="shared" si="1"/>
        <v>11</v>
      </c>
      <c r="B12" s="5" t="s">
        <v>21</v>
      </c>
      <c r="E12" s="8"/>
      <c r="F12" s="6">
        <f t="shared" si="2"/>
        <v>23</v>
      </c>
      <c r="G12" s="10" t="s">
        <v>22</v>
      </c>
      <c r="J12" s="8"/>
    </row>
    <row r="13" ht="15.75" customHeight="1">
      <c r="A13" s="16">
        <f t="shared" si="1"/>
        <v>12</v>
      </c>
      <c r="B13" s="9" t="s">
        <v>23</v>
      </c>
      <c r="E13" s="8"/>
      <c r="F13" s="17">
        <f t="shared" si="2"/>
        <v>24</v>
      </c>
      <c r="G13" s="5" t="s">
        <v>24</v>
      </c>
      <c r="J13" s="8"/>
    </row>
    <row r="14" ht="15.75" customHeight="1">
      <c r="A14" s="18">
        <v>13.0</v>
      </c>
      <c r="B14" s="9" t="s">
        <v>25</v>
      </c>
      <c r="E14" s="8"/>
      <c r="F14" s="17">
        <f t="shared" si="2"/>
        <v>25</v>
      </c>
      <c r="G14" s="5" t="s">
        <v>26</v>
      </c>
      <c r="J14" s="8"/>
    </row>
    <row r="15" ht="15.75" customHeight="1">
      <c r="A15" s="19" t="s">
        <v>27</v>
      </c>
      <c r="B15" s="20"/>
      <c r="C15" s="20"/>
      <c r="D15" s="20"/>
      <c r="E15" s="20"/>
      <c r="F15" s="20"/>
      <c r="G15" s="20"/>
      <c r="H15" s="20"/>
      <c r="I15" s="20"/>
      <c r="J15" s="21"/>
    </row>
    <row r="16" ht="15.75" customHeight="1">
      <c r="A16" s="22"/>
      <c r="B16" s="13"/>
      <c r="C16" s="13"/>
      <c r="D16" s="13"/>
      <c r="E16" s="13"/>
      <c r="F16" s="13"/>
      <c r="G16" s="13"/>
      <c r="H16" s="13"/>
      <c r="I16" s="13"/>
      <c r="J16" s="14"/>
      <c r="K16" s="23" t="s">
        <v>28</v>
      </c>
    </row>
    <row r="17" ht="15.75" customHeight="1">
      <c r="A17" s="24" t="s">
        <v>29</v>
      </c>
      <c r="B17" s="20"/>
      <c r="C17" s="20"/>
      <c r="D17" s="20"/>
      <c r="E17" s="20"/>
      <c r="F17" s="20"/>
      <c r="G17" s="20"/>
      <c r="H17" s="20"/>
      <c r="I17" s="20"/>
      <c r="J17" s="21"/>
      <c r="K17" s="25" t="s">
        <v>30</v>
      </c>
    </row>
    <row r="18" ht="15.75" customHeight="1">
      <c r="A18" s="26" t="s">
        <v>31</v>
      </c>
      <c r="J18" s="8"/>
      <c r="K18" s="27"/>
    </row>
    <row r="19" ht="15.75" customHeight="1">
      <c r="A19" s="28" t="s">
        <v>32</v>
      </c>
      <c r="J19" s="8"/>
      <c r="K19" s="7" t="s">
        <v>33</v>
      </c>
    </row>
    <row r="20" ht="15.75" customHeight="1">
      <c r="A20" s="26" t="s">
        <v>34</v>
      </c>
      <c r="J20" s="8"/>
      <c r="K20" s="27"/>
    </row>
    <row r="21" ht="15.75" customHeight="1">
      <c r="A21" s="26" t="s">
        <v>35</v>
      </c>
      <c r="J21" s="8"/>
      <c r="K21" s="7" t="s">
        <v>33</v>
      </c>
    </row>
    <row r="22" ht="15.75" customHeight="1">
      <c r="A22" s="26" t="s">
        <v>36</v>
      </c>
      <c r="J22" s="8"/>
    </row>
    <row r="23" ht="15.75" customHeight="1">
      <c r="A23" s="26" t="s">
        <v>37</v>
      </c>
      <c r="J23" s="8"/>
    </row>
    <row r="24" ht="15.75" customHeight="1">
      <c r="A24" s="29" t="s">
        <v>38</v>
      </c>
      <c r="J24" s="8"/>
      <c r="K24" s="27"/>
    </row>
    <row r="25" ht="15.75" customHeight="1">
      <c r="A25" s="26" t="s">
        <v>39</v>
      </c>
      <c r="J25" s="8"/>
      <c r="K25" s="7" t="s">
        <v>33</v>
      </c>
      <c r="L25" s="7" t="s">
        <v>40</v>
      </c>
    </row>
    <row r="26" ht="15.75" customHeight="1">
      <c r="A26" s="26" t="s">
        <v>41</v>
      </c>
      <c r="J26" s="8"/>
    </row>
    <row r="27" ht="15.75" customHeight="1">
      <c r="A27" s="26" t="s">
        <v>42</v>
      </c>
      <c r="J27" s="8"/>
    </row>
    <row r="28" ht="15.75" customHeight="1">
      <c r="A28" s="26" t="s">
        <v>43</v>
      </c>
      <c r="J28" s="8"/>
    </row>
    <row r="29" ht="15.75" customHeight="1">
      <c r="A29" s="29" t="s">
        <v>44</v>
      </c>
      <c r="J29" s="8"/>
    </row>
    <row r="30" ht="15.75" customHeight="1">
      <c r="A30" s="26" t="s">
        <v>45</v>
      </c>
      <c r="J30" s="8"/>
    </row>
    <row r="31" ht="15.75" customHeight="1">
      <c r="A31" s="26" t="s">
        <v>46</v>
      </c>
      <c r="J31" s="8"/>
    </row>
    <row r="32" ht="15.75" customHeight="1">
      <c r="A32" s="26" t="s">
        <v>47</v>
      </c>
      <c r="J32" s="8"/>
    </row>
    <row r="33" ht="15.75" customHeight="1">
      <c r="A33" s="30" t="s">
        <v>48</v>
      </c>
      <c r="J33" s="8"/>
      <c r="K33" s="31" t="s">
        <v>49</v>
      </c>
    </row>
    <row r="34" ht="15.75" customHeight="1">
      <c r="A34" s="30" t="s">
        <v>50</v>
      </c>
      <c r="J34" s="8"/>
      <c r="K34" s="7" t="s">
        <v>51</v>
      </c>
    </row>
    <row r="35" ht="15.75" customHeight="1">
      <c r="A35" s="26" t="s">
        <v>52</v>
      </c>
      <c r="J35" s="8"/>
    </row>
    <row r="36" ht="15.75" customHeight="1">
      <c r="A36" s="26" t="s">
        <v>53</v>
      </c>
      <c r="J36" s="8"/>
    </row>
    <row r="37" ht="15.75" customHeight="1">
      <c r="A37" s="26" t="s">
        <v>54</v>
      </c>
      <c r="J37" s="8"/>
    </row>
    <row r="38" ht="15.75" customHeight="1">
      <c r="A38" s="26" t="s">
        <v>55</v>
      </c>
      <c r="J38" s="8"/>
    </row>
    <row r="39" ht="15.75" customHeight="1">
      <c r="A39" s="26" t="s">
        <v>56</v>
      </c>
      <c r="J39" s="8"/>
    </row>
    <row r="40" ht="15.75" customHeight="1">
      <c r="A40" s="26" t="s">
        <v>57</v>
      </c>
      <c r="J40" s="8"/>
    </row>
    <row r="41" ht="15.75" customHeight="1">
      <c r="A41" s="26" t="s">
        <v>58</v>
      </c>
      <c r="J41" s="8"/>
      <c r="K41" s="32"/>
      <c r="L41" s="32"/>
      <c r="M41" s="32"/>
    </row>
    <row r="42" ht="15.75" customHeight="1">
      <c r="A42" s="30" t="s">
        <v>59</v>
      </c>
      <c r="J42" s="8"/>
      <c r="K42" s="32"/>
      <c r="L42" s="32"/>
      <c r="M42" s="32"/>
    </row>
    <row r="43">
      <c r="A43" s="33" t="s">
        <v>60</v>
      </c>
      <c r="J43" s="8"/>
      <c r="K43" s="27"/>
    </row>
    <row r="44">
      <c r="A44" s="34" t="s">
        <v>61</v>
      </c>
      <c r="J44" s="8"/>
    </row>
    <row r="45">
      <c r="A45" s="35" t="s">
        <v>62</v>
      </c>
      <c r="J45" s="8"/>
    </row>
    <row r="46">
      <c r="A46" s="36" t="s">
        <v>63</v>
      </c>
      <c r="B46" s="13"/>
      <c r="C46" s="13"/>
      <c r="D46" s="13"/>
      <c r="E46" s="13"/>
      <c r="F46" s="13"/>
      <c r="G46" s="13"/>
      <c r="H46" s="13"/>
      <c r="I46" s="13"/>
      <c r="J46" s="14"/>
    </row>
    <row r="47">
      <c r="A47" s="37"/>
      <c r="B47" s="38"/>
      <c r="C47" s="39"/>
      <c r="D47" s="39"/>
      <c r="E47" s="39"/>
      <c r="F47" s="39"/>
      <c r="G47" s="39"/>
      <c r="H47" s="39"/>
    </row>
    <row r="48">
      <c r="A48" s="37"/>
      <c r="B48" s="38"/>
      <c r="C48" s="39"/>
      <c r="D48" s="39"/>
      <c r="E48" s="39"/>
      <c r="F48" s="39"/>
      <c r="G48" s="39"/>
      <c r="H48" s="39"/>
    </row>
    <row r="49">
      <c r="A49" s="37"/>
      <c r="B49" s="38"/>
      <c r="C49" s="39"/>
      <c r="D49" s="39"/>
      <c r="E49" s="39"/>
      <c r="F49" s="39"/>
      <c r="G49" s="39"/>
      <c r="H49" s="39"/>
    </row>
    <row r="50">
      <c r="A50" s="37"/>
      <c r="B50" s="38"/>
      <c r="C50" s="39"/>
      <c r="D50" s="39"/>
      <c r="E50" s="39"/>
      <c r="F50" s="39"/>
      <c r="G50" s="39"/>
      <c r="H50" s="39"/>
    </row>
    <row r="51">
      <c r="A51" s="37"/>
      <c r="B51" s="38"/>
      <c r="C51" s="39"/>
      <c r="D51" s="39"/>
      <c r="E51" s="39"/>
      <c r="F51" s="39"/>
      <c r="G51" s="39"/>
      <c r="H51" s="39"/>
    </row>
    <row r="52">
      <c r="A52" s="37"/>
      <c r="B52" s="38"/>
      <c r="C52" s="39"/>
      <c r="D52" s="39"/>
      <c r="E52" s="39"/>
      <c r="F52" s="39"/>
      <c r="G52" s="39"/>
      <c r="H52" s="39"/>
    </row>
    <row r="53">
      <c r="A53" s="37"/>
      <c r="B53" s="38"/>
      <c r="C53" s="39"/>
      <c r="D53" s="39"/>
      <c r="E53" s="39"/>
      <c r="F53" s="39"/>
      <c r="G53" s="39"/>
      <c r="H53" s="39"/>
    </row>
    <row r="54">
      <c r="A54" s="37"/>
      <c r="B54" s="38"/>
      <c r="C54" s="39"/>
      <c r="D54" s="39"/>
      <c r="E54" s="39"/>
      <c r="F54" s="39"/>
      <c r="G54" s="39"/>
      <c r="H54" s="39"/>
    </row>
    <row r="55">
      <c r="A55" s="37"/>
      <c r="B55" s="38"/>
      <c r="C55" s="39"/>
      <c r="D55" s="39"/>
      <c r="E55" s="39"/>
      <c r="F55" s="39"/>
      <c r="G55" s="39"/>
      <c r="H55" s="39"/>
    </row>
    <row r="56">
      <c r="A56" s="37"/>
      <c r="B56" s="38"/>
      <c r="C56" s="39"/>
      <c r="D56" s="39"/>
      <c r="E56" s="39"/>
      <c r="F56" s="39"/>
      <c r="G56" s="39"/>
      <c r="H56" s="39"/>
    </row>
    <row r="57">
      <c r="A57" s="37"/>
      <c r="B57" s="38"/>
      <c r="C57" s="39"/>
      <c r="D57" s="39"/>
      <c r="E57" s="39"/>
      <c r="F57" s="39"/>
      <c r="G57" s="39"/>
      <c r="H57" s="39"/>
    </row>
    <row r="58">
      <c r="A58" s="37"/>
      <c r="B58" s="38"/>
      <c r="C58" s="39"/>
      <c r="D58" s="39"/>
      <c r="E58" s="39"/>
      <c r="F58" s="39"/>
      <c r="G58" s="39"/>
      <c r="H58" s="39"/>
    </row>
    <row r="59">
      <c r="A59" s="37"/>
      <c r="B59" s="38"/>
      <c r="C59" s="39"/>
      <c r="D59" s="39"/>
      <c r="E59" s="39"/>
      <c r="F59" s="39"/>
      <c r="G59" s="39"/>
      <c r="H59" s="39"/>
    </row>
    <row r="60">
      <c r="A60" s="37"/>
      <c r="B60" s="38"/>
      <c r="C60" s="39"/>
      <c r="D60" s="39"/>
      <c r="E60" s="39"/>
      <c r="F60" s="39"/>
      <c r="G60" s="39"/>
      <c r="H60" s="39"/>
    </row>
    <row r="61">
      <c r="A61" s="37"/>
      <c r="B61" s="38"/>
      <c r="C61" s="39"/>
      <c r="D61" s="39"/>
      <c r="E61" s="39"/>
      <c r="F61" s="39"/>
      <c r="G61" s="39"/>
      <c r="H61" s="39"/>
    </row>
    <row r="62">
      <c r="A62" s="37"/>
      <c r="B62" s="38"/>
      <c r="C62" s="39"/>
      <c r="D62" s="39"/>
      <c r="E62" s="39"/>
      <c r="F62" s="39"/>
      <c r="G62" s="39"/>
      <c r="H62" s="39"/>
    </row>
    <row r="63">
      <c r="A63" s="37"/>
      <c r="B63" s="38"/>
      <c r="C63" s="39"/>
      <c r="D63" s="39"/>
      <c r="E63" s="39"/>
      <c r="F63" s="39"/>
      <c r="G63" s="39"/>
      <c r="H63" s="39"/>
    </row>
    <row r="64">
      <c r="A64" s="37"/>
      <c r="B64" s="38"/>
      <c r="C64" s="39"/>
      <c r="D64" s="39"/>
      <c r="E64" s="39"/>
      <c r="F64" s="39"/>
      <c r="G64" s="39"/>
      <c r="H64" s="39"/>
    </row>
    <row r="65">
      <c r="A65" s="37"/>
      <c r="B65" s="38"/>
      <c r="C65" s="39"/>
      <c r="D65" s="39"/>
      <c r="E65" s="39"/>
      <c r="F65" s="39"/>
      <c r="G65" s="39"/>
      <c r="H65" s="39"/>
    </row>
    <row r="66">
      <c r="A66" s="37"/>
      <c r="B66" s="38"/>
      <c r="C66" s="39"/>
      <c r="D66" s="39"/>
      <c r="E66" s="39"/>
      <c r="F66" s="39"/>
      <c r="G66" s="39"/>
      <c r="H66" s="39"/>
    </row>
    <row r="67">
      <c r="A67" s="37"/>
      <c r="B67" s="38"/>
      <c r="C67" s="39"/>
      <c r="D67" s="39"/>
      <c r="E67" s="39"/>
      <c r="F67" s="39"/>
      <c r="G67" s="39"/>
      <c r="H67" s="39"/>
    </row>
    <row r="68">
      <c r="A68" s="37"/>
      <c r="B68" s="38"/>
      <c r="C68" s="39"/>
      <c r="D68" s="39"/>
      <c r="E68" s="39"/>
      <c r="F68" s="39"/>
      <c r="G68" s="39"/>
      <c r="H68" s="39"/>
    </row>
    <row r="69">
      <c r="A69" s="37"/>
      <c r="B69" s="38"/>
      <c r="C69" s="39"/>
      <c r="D69" s="39"/>
      <c r="E69" s="39"/>
      <c r="F69" s="39"/>
      <c r="G69" s="39"/>
      <c r="H69" s="39"/>
    </row>
    <row r="70">
      <c r="A70" s="37"/>
      <c r="B70" s="38"/>
      <c r="C70" s="39"/>
      <c r="D70" s="39"/>
      <c r="E70" s="39"/>
      <c r="F70" s="39"/>
      <c r="G70" s="39"/>
      <c r="H70" s="39"/>
    </row>
    <row r="71">
      <c r="A71" s="37"/>
      <c r="B71" s="38"/>
      <c r="C71" s="39"/>
      <c r="D71" s="39"/>
      <c r="E71" s="39"/>
      <c r="F71" s="39"/>
      <c r="G71" s="39"/>
      <c r="H71" s="39"/>
    </row>
    <row r="72">
      <c r="A72" s="37"/>
      <c r="B72" s="38"/>
      <c r="C72" s="39"/>
      <c r="D72" s="39"/>
      <c r="E72" s="39"/>
      <c r="F72" s="39"/>
      <c r="G72" s="39"/>
      <c r="H72" s="39"/>
    </row>
    <row r="73">
      <c r="A73" s="37"/>
      <c r="B73" s="38"/>
      <c r="C73" s="39"/>
      <c r="D73" s="39"/>
      <c r="E73" s="39"/>
      <c r="F73" s="39"/>
      <c r="G73" s="39"/>
      <c r="H73" s="39"/>
    </row>
    <row r="74">
      <c r="A74" s="37"/>
      <c r="B74" s="38"/>
      <c r="C74" s="39"/>
      <c r="D74" s="39"/>
      <c r="E74" s="39"/>
      <c r="F74" s="39"/>
      <c r="G74" s="39"/>
      <c r="H74" s="39"/>
    </row>
    <row r="75">
      <c r="A75" s="37"/>
      <c r="B75" s="38"/>
      <c r="C75" s="39"/>
      <c r="D75" s="39"/>
      <c r="E75" s="39"/>
      <c r="F75" s="39"/>
      <c r="G75" s="39"/>
      <c r="H75" s="39"/>
    </row>
    <row r="76">
      <c r="A76" s="37"/>
      <c r="B76" s="38"/>
      <c r="C76" s="39"/>
      <c r="D76" s="39"/>
      <c r="E76" s="39"/>
      <c r="F76" s="39"/>
      <c r="G76" s="39"/>
      <c r="H76" s="39"/>
    </row>
    <row r="77">
      <c r="A77" s="37"/>
      <c r="B77" s="38"/>
      <c r="C77" s="39"/>
      <c r="D77" s="39"/>
      <c r="E77" s="39"/>
      <c r="F77" s="39"/>
      <c r="G77" s="39"/>
      <c r="H77" s="39"/>
    </row>
    <row r="78">
      <c r="A78" s="37"/>
      <c r="B78" s="38"/>
      <c r="C78" s="39"/>
      <c r="D78" s="39"/>
      <c r="E78" s="39"/>
      <c r="F78" s="39"/>
      <c r="G78" s="39"/>
      <c r="H78" s="39"/>
    </row>
    <row r="79">
      <c r="A79" s="37"/>
      <c r="B79" s="38"/>
      <c r="C79" s="39"/>
      <c r="D79" s="39"/>
      <c r="E79" s="39"/>
      <c r="F79" s="39"/>
      <c r="G79" s="39"/>
      <c r="H79" s="39"/>
    </row>
    <row r="80">
      <c r="A80" s="37"/>
      <c r="B80" s="38"/>
      <c r="C80" s="39"/>
      <c r="D80" s="39"/>
      <c r="E80" s="39"/>
      <c r="F80" s="39"/>
      <c r="G80" s="39"/>
      <c r="H80" s="39"/>
    </row>
    <row r="81">
      <c r="A81" s="37"/>
      <c r="B81" s="38"/>
      <c r="C81" s="39"/>
      <c r="D81" s="39"/>
      <c r="E81" s="39"/>
      <c r="F81" s="39"/>
      <c r="G81" s="39"/>
      <c r="H81" s="39"/>
    </row>
    <row r="82">
      <c r="A82" s="37"/>
      <c r="B82" s="38"/>
      <c r="C82" s="39"/>
      <c r="D82" s="39"/>
      <c r="E82" s="39"/>
      <c r="F82" s="39"/>
      <c r="G82" s="39"/>
      <c r="H82" s="39"/>
    </row>
    <row r="83">
      <c r="A83" s="37"/>
      <c r="B83" s="38"/>
      <c r="C83" s="39"/>
      <c r="D83" s="39"/>
      <c r="E83" s="39"/>
      <c r="F83" s="39"/>
      <c r="G83" s="39"/>
      <c r="H83" s="39"/>
    </row>
    <row r="84">
      <c r="A84" s="37"/>
      <c r="B84" s="38"/>
      <c r="C84" s="39"/>
      <c r="D84" s="39"/>
      <c r="E84" s="39"/>
      <c r="F84" s="39"/>
      <c r="G84" s="39"/>
      <c r="H84" s="39"/>
    </row>
    <row r="85">
      <c r="A85" s="37"/>
      <c r="B85" s="38"/>
      <c r="C85" s="39"/>
      <c r="D85" s="39"/>
      <c r="E85" s="39"/>
      <c r="F85" s="39"/>
      <c r="G85" s="39"/>
      <c r="H85" s="39"/>
    </row>
    <row r="86">
      <c r="A86" s="37"/>
      <c r="B86" s="38"/>
      <c r="C86" s="39"/>
      <c r="D86" s="39"/>
      <c r="E86" s="39"/>
      <c r="F86" s="39"/>
      <c r="G86" s="39"/>
      <c r="H86" s="39"/>
    </row>
    <row r="87">
      <c r="A87" s="37"/>
      <c r="B87" s="38"/>
      <c r="C87" s="39"/>
      <c r="D87" s="39"/>
      <c r="E87" s="39"/>
      <c r="F87" s="39"/>
      <c r="G87" s="39"/>
      <c r="H87" s="39"/>
    </row>
    <row r="88">
      <c r="A88" s="37"/>
      <c r="B88" s="38"/>
      <c r="C88" s="39"/>
      <c r="D88" s="39"/>
      <c r="E88" s="39"/>
      <c r="F88" s="39"/>
      <c r="G88" s="39"/>
      <c r="H88" s="39"/>
    </row>
    <row r="89">
      <c r="A89" s="37"/>
      <c r="B89" s="38"/>
      <c r="C89" s="39"/>
      <c r="D89" s="39"/>
      <c r="E89" s="39"/>
      <c r="F89" s="39"/>
      <c r="G89" s="39"/>
      <c r="H89" s="39"/>
    </row>
    <row r="90">
      <c r="A90" s="37"/>
      <c r="B90" s="38"/>
      <c r="C90" s="39"/>
      <c r="D90" s="39"/>
      <c r="E90" s="39"/>
      <c r="F90" s="39"/>
      <c r="G90" s="39"/>
      <c r="H90" s="39"/>
    </row>
    <row r="91">
      <c r="A91" s="37"/>
      <c r="B91" s="38"/>
      <c r="C91" s="39"/>
      <c r="D91" s="39"/>
      <c r="E91" s="39"/>
      <c r="F91" s="39"/>
      <c r="G91" s="39"/>
      <c r="H91" s="39"/>
    </row>
    <row r="92">
      <c r="A92" s="37"/>
      <c r="B92" s="38"/>
      <c r="C92" s="39"/>
      <c r="D92" s="39"/>
      <c r="E92" s="39"/>
      <c r="F92" s="39"/>
      <c r="G92" s="39"/>
      <c r="H92" s="39"/>
    </row>
    <row r="93">
      <c r="A93" s="37"/>
      <c r="B93" s="38"/>
      <c r="C93" s="39"/>
      <c r="D93" s="39"/>
      <c r="E93" s="39"/>
      <c r="F93" s="39"/>
      <c r="G93" s="39"/>
      <c r="H93" s="39"/>
    </row>
    <row r="94">
      <c r="A94" s="37"/>
      <c r="B94" s="38"/>
      <c r="C94" s="39"/>
      <c r="D94" s="39"/>
      <c r="E94" s="39"/>
      <c r="F94" s="39"/>
      <c r="G94" s="39"/>
      <c r="H94" s="39"/>
    </row>
    <row r="95">
      <c r="A95" s="37"/>
      <c r="B95" s="38"/>
      <c r="C95" s="39"/>
      <c r="D95" s="39"/>
      <c r="E95" s="39"/>
      <c r="F95" s="39"/>
      <c r="G95" s="39"/>
      <c r="H95" s="39"/>
    </row>
    <row r="96">
      <c r="A96" s="37"/>
      <c r="B96" s="38"/>
      <c r="C96" s="39"/>
      <c r="D96" s="39"/>
      <c r="E96" s="39"/>
      <c r="F96" s="39"/>
      <c r="G96" s="39"/>
      <c r="H96" s="39"/>
    </row>
    <row r="97">
      <c r="A97" s="37"/>
      <c r="B97" s="38"/>
      <c r="C97" s="39"/>
      <c r="D97" s="39"/>
      <c r="E97" s="39"/>
      <c r="F97" s="39"/>
      <c r="G97" s="39"/>
      <c r="H97" s="39"/>
    </row>
    <row r="98">
      <c r="A98" s="37"/>
      <c r="B98" s="38"/>
      <c r="C98" s="39"/>
      <c r="D98" s="39"/>
      <c r="E98" s="39"/>
      <c r="F98" s="39"/>
      <c r="G98" s="39"/>
      <c r="H98" s="39"/>
    </row>
    <row r="99">
      <c r="A99" s="37"/>
      <c r="B99" s="38"/>
      <c r="C99" s="39"/>
      <c r="D99" s="39"/>
      <c r="E99" s="39"/>
      <c r="F99" s="39"/>
      <c r="G99" s="39"/>
      <c r="H99" s="39"/>
    </row>
    <row r="100">
      <c r="A100" s="37"/>
      <c r="B100" s="38"/>
      <c r="C100" s="39"/>
      <c r="D100" s="39"/>
      <c r="E100" s="39"/>
      <c r="F100" s="39"/>
      <c r="G100" s="39"/>
      <c r="H100" s="39"/>
    </row>
    <row r="101">
      <c r="A101" s="37"/>
      <c r="B101" s="38"/>
      <c r="C101" s="39"/>
      <c r="D101" s="39"/>
      <c r="E101" s="39"/>
      <c r="F101" s="39"/>
      <c r="G101" s="39"/>
      <c r="H101" s="39"/>
    </row>
    <row r="102">
      <c r="A102" s="37"/>
      <c r="B102" s="38"/>
      <c r="C102" s="39"/>
      <c r="D102" s="39"/>
      <c r="E102" s="39"/>
      <c r="F102" s="39"/>
      <c r="G102" s="39"/>
      <c r="H102" s="39"/>
    </row>
    <row r="103">
      <c r="A103" s="37"/>
      <c r="B103" s="38"/>
      <c r="C103" s="39"/>
      <c r="D103" s="39"/>
      <c r="E103" s="39"/>
      <c r="F103" s="39"/>
      <c r="G103" s="39"/>
      <c r="H103" s="39"/>
    </row>
    <row r="104">
      <c r="A104" s="37"/>
      <c r="B104" s="38"/>
      <c r="C104" s="39"/>
      <c r="D104" s="39"/>
      <c r="E104" s="39"/>
      <c r="F104" s="39"/>
      <c r="G104" s="39"/>
      <c r="H104" s="39"/>
    </row>
    <row r="105">
      <c r="A105" s="37"/>
      <c r="B105" s="38"/>
      <c r="C105" s="39"/>
      <c r="D105" s="39"/>
      <c r="E105" s="39"/>
      <c r="F105" s="39"/>
      <c r="G105" s="39"/>
      <c r="H105" s="39"/>
    </row>
    <row r="106">
      <c r="A106" s="37"/>
      <c r="B106" s="38"/>
      <c r="C106" s="39"/>
      <c r="D106" s="39"/>
      <c r="E106" s="39"/>
      <c r="F106" s="39"/>
      <c r="G106" s="39"/>
      <c r="H106" s="39"/>
    </row>
    <row r="107">
      <c r="A107" s="37"/>
      <c r="B107" s="38"/>
      <c r="C107" s="39"/>
      <c r="D107" s="39"/>
      <c r="E107" s="39"/>
      <c r="F107" s="39"/>
      <c r="G107" s="39"/>
      <c r="H107" s="39"/>
    </row>
    <row r="108">
      <c r="A108" s="37"/>
      <c r="B108" s="38"/>
      <c r="C108" s="39"/>
      <c r="D108" s="39"/>
      <c r="E108" s="39"/>
      <c r="F108" s="39"/>
      <c r="G108" s="39"/>
      <c r="H108" s="39"/>
    </row>
    <row r="109">
      <c r="A109" s="37"/>
      <c r="B109" s="38"/>
      <c r="C109" s="39"/>
      <c r="D109" s="39"/>
      <c r="E109" s="39"/>
      <c r="F109" s="39"/>
      <c r="G109" s="39"/>
      <c r="H109" s="39"/>
    </row>
    <row r="110">
      <c r="A110" s="37"/>
      <c r="B110" s="38"/>
      <c r="C110" s="39"/>
      <c r="D110" s="39"/>
      <c r="E110" s="39"/>
      <c r="F110" s="39"/>
      <c r="G110" s="39"/>
      <c r="H110" s="39"/>
    </row>
    <row r="111">
      <c r="A111" s="37"/>
      <c r="B111" s="38"/>
      <c r="C111" s="39"/>
      <c r="D111" s="39"/>
      <c r="E111" s="39"/>
      <c r="F111" s="39"/>
      <c r="G111" s="39"/>
      <c r="H111" s="39"/>
    </row>
    <row r="112">
      <c r="A112" s="37"/>
      <c r="B112" s="38"/>
      <c r="C112" s="39"/>
      <c r="D112" s="39"/>
      <c r="E112" s="39"/>
      <c r="F112" s="39"/>
      <c r="G112" s="39"/>
      <c r="H112" s="39"/>
    </row>
    <row r="113">
      <c r="A113" s="37"/>
      <c r="B113" s="38"/>
      <c r="C113" s="39"/>
      <c r="D113" s="39"/>
      <c r="E113" s="39"/>
      <c r="F113" s="39"/>
      <c r="G113" s="39"/>
      <c r="H113" s="39"/>
    </row>
    <row r="114">
      <c r="A114" s="37"/>
      <c r="B114" s="38"/>
      <c r="C114" s="39"/>
      <c r="D114" s="39"/>
      <c r="E114" s="39"/>
      <c r="F114" s="39"/>
      <c r="G114" s="39"/>
      <c r="H114" s="39"/>
    </row>
    <row r="115">
      <c r="A115" s="37"/>
      <c r="B115" s="38"/>
      <c r="C115" s="39"/>
      <c r="D115" s="39"/>
      <c r="E115" s="39"/>
      <c r="F115" s="39"/>
      <c r="G115" s="39"/>
      <c r="H115" s="39"/>
    </row>
    <row r="116">
      <c r="A116" s="37"/>
      <c r="B116" s="38"/>
      <c r="C116" s="39"/>
      <c r="D116" s="39"/>
      <c r="E116" s="39"/>
      <c r="F116" s="39"/>
      <c r="G116" s="39"/>
      <c r="H116" s="39"/>
    </row>
    <row r="117">
      <c r="A117" s="37"/>
      <c r="B117" s="38"/>
      <c r="C117" s="39"/>
      <c r="D117" s="39"/>
      <c r="E117" s="39"/>
      <c r="F117" s="39"/>
      <c r="G117" s="39"/>
      <c r="H117" s="39"/>
    </row>
    <row r="118">
      <c r="A118" s="37"/>
      <c r="B118" s="38"/>
      <c r="C118" s="39"/>
      <c r="D118" s="39"/>
      <c r="E118" s="39"/>
      <c r="F118" s="39"/>
      <c r="G118" s="39"/>
      <c r="H118" s="39"/>
    </row>
    <row r="119">
      <c r="A119" s="37"/>
      <c r="B119" s="38"/>
      <c r="C119" s="39"/>
      <c r="D119" s="39"/>
      <c r="E119" s="39"/>
      <c r="F119" s="39"/>
      <c r="G119" s="39"/>
      <c r="H119" s="39"/>
    </row>
    <row r="120">
      <c r="A120" s="37"/>
      <c r="B120" s="38"/>
      <c r="C120" s="39"/>
      <c r="D120" s="39"/>
      <c r="E120" s="39"/>
      <c r="F120" s="39"/>
      <c r="G120" s="39"/>
      <c r="H120" s="39"/>
    </row>
    <row r="121">
      <c r="A121" s="37"/>
      <c r="B121" s="38"/>
      <c r="C121" s="39"/>
      <c r="D121" s="39"/>
      <c r="E121" s="39"/>
      <c r="F121" s="39"/>
      <c r="G121" s="39"/>
      <c r="H121" s="39"/>
    </row>
    <row r="122">
      <c r="A122" s="37"/>
      <c r="B122" s="38"/>
      <c r="C122" s="39"/>
      <c r="D122" s="39"/>
      <c r="E122" s="39"/>
      <c r="F122" s="39"/>
      <c r="G122" s="39"/>
      <c r="H122" s="39"/>
    </row>
    <row r="123">
      <c r="A123" s="37"/>
      <c r="B123" s="38"/>
      <c r="C123" s="39"/>
      <c r="D123" s="39"/>
      <c r="E123" s="39"/>
      <c r="F123" s="39"/>
      <c r="G123" s="39"/>
      <c r="H123" s="39"/>
    </row>
    <row r="124">
      <c r="A124" s="37"/>
      <c r="B124" s="38"/>
      <c r="C124" s="39"/>
      <c r="D124" s="39"/>
      <c r="E124" s="39"/>
      <c r="F124" s="39"/>
      <c r="G124" s="39"/>
      <c r="H124" s="39"/>
    </row>
    <row r="125">
      <c r="A125" s="37"/>
      <c r="B125" s="38"/>
      <c r="C125" s="39"/>
      <c r="D125" s="39"/>
      <c r="E125" s="39"/>
      <c r="F125" s="39"/>
      <c r="G125" s="39"/>
      <c r="H125" s="39"/>
    </row>
    <row r="126">
      <c r="A126" s="37"/>
      <c r="B126" s="38"/>
      <c r="C126" s="39"/>
      <c r="D126" s="39"/>
      <c r="E126" s="39"/>
      <c r="F126" s="39"/>
      <c r="G126" s="39"/>
      <c r="H126" s="39"/>
    </row>
    <row r="127">
      <c r="A127" s="37"/>
      <c r="B127" s="38"/>
      <c r="C127" s="39"/>
      <c r="D127" s="39"/>
      <c r="E127" s="39"/>
      <c r="F127" s="39"/>
      <c r="G127" s="39"/>
      <c r="H127" s="39"/>
    </row>
    <row r="128">
      <c r="A128" s="37"/>
      <c r="B128" s="38"/>
      <c r="C128" s="39"/>
      <c r="D128" s="39"/>
      <c r="E128" s="39"/>
      <c r="F128" s="39"/>
      <c r="G128" s="39"/>
      <c r="H128" s="39"/>
    </row>
    <row r="129">
      <c r="A129" s="37"/>
      <c r="B129" s="38"/>
      <c r="C129" s="39"/>
      <c r="D129" s="39"/>
      <c r="E129" s="39"/>
      <c r="F129" s="39"/>
      <c r="G129" s="39"/>
      <c r="H129" s="39"/>
    </row>
    <row r="130">
      <c r="A130" s="37"/>
      <c r="B130" s="38"/>
      <c r="C130" s="39"/>
      <c r="D130" s="39"/>
      <c r="E130" s="39"/>
      <c r="F130" s="39"/>
      <c r="G130" s="39"/>
      <c r="H130" s="39"/>
    </row>
    <row r="131">
      <c r="A131" s="37"/>
      <c r="B131" s="38"/>
      <c r="C131" s="39"/>
      <c r="D131" s="39"/>
      <c r="E131" s="39"/>
      <c r="F131" s="39"/>
      <c r="G131" s="39"/>
      <c r="H131" s="39"/>
    </row>
    <row r="132">
      <c r="A132" s="37"/>
      <c r="B132" s="38"/>
      <c r="C132" s="39"/>
      <c r="D132" s="39"/>
      <c r="E132" s="39"/>
      <c r="F132" s="39"/>
      <c r="G132" s="39"/>
      <c r="H132" s="39"/>
    </row>
    <row r="133">
      <c r="A133" s="37"/>
      <c r="B133" s="38"/>
      <c r="C133" s="39"/>
      <c r="D133" s="39"/>
      <c r="E133" s="39"/>
      <c r="F133" s="39"/>
      <c r="G133" s="39"/>
      <c r="H133" s="39"/>
    </row>
    <row r="134">
      <c r="A134" s="37"/>
      <c r="B134" s="38"/>
      <c r="C134" s="39"/>
      <c r="D134" s="39"/>
      <c r="E134" s="39"/>
      <c r="F134" s="39"/>
      <c r="G134" s="39"/>
      <c r="H134" s="39"/>
    </row>
    <row r="135">
      <c r="A135" s="37"/>
      <c r="B135" s="38"/>
      <c r="C135" s="39"/>
      <c r="D135" s="39"/>
      <c r="E135" s="39"/>
      <c r="F135" s="39"/>
      <c r="G135" s="39"/>
      <c r="H135" s="39"/>
    </row>
    <row r="136">
      <c r="A136" s="37"/>
      <c r="B136" s="38"/>
      <c r="C136" s="39"/>
      <c r="D136" s="39"/>
      <c r="E136" s="39"/>
      <c r="F136" s="39"/>
      <c r="G136" s="39"/>
      <c r="H136" s="39"/>
    </row>
    <row r="137">
      <c r="A137" s="37"/>
      <c r="B137" s="38"/>
      <c r="C137" s="39"/>
      <c r="D137" s="39"/>
      <c r="E137" s="39"/>
      <c r="F137" s="39"/>
      <c r="G137" s="39"/>
      <c r="H137" s="39"/>
    </row>
    <row r="138">
      <c r="A138" s="37"/>
      <c r="B138" s="38"/>
      <c r="C138" s="39"/>
      <c r="D138" s="39"/>
      <c r="E138" s="39"/>
      <c r="F138" s="39"/>
      <c r="G138" s="39"/>
      <c r="H138" s="39"/>
    </row>
    <row r="139">
      <c r="A139" s="37"/>
      <c r="B139" s="38"/>
      <c r="C139" s="39"/>
      <c r="D139" s="39"/>
      <c r="E139" s="39"/>
      <c r="F139" s="39"/>
      <c r="G139" s="39"/>
      <c r="H139" s="39"/>
    </row>
    <row r="140">
      <c r="A140" s="37"/>
      <c r="B140" s="38"/>
      <c r="C140" s="39"/>
      <c r="D140" s="39"/>
      <c r="E140" s="39"/>
      <c r="F140" s="39"/>
      <c r="G140" s="39"/>
      <c r="H140" s="39"/>
    </row>
    <row r="141">
      <c r="A141" s="37"/>
      <c r="B141" s="38"/>
      <c r="C141" s="39"/>
      <c r="D141" s="39"/>
      <c r="E141" s="39"/>
      <c r="F141" s="39"/>
      <c r="G141" s="39"/>
      <c r="H141" s="39"/>
    </row>
    <row r="142">
      <c r="A142" s="37"/>
      <c r="B142" s="38"/>
      <c r="C142" s="39"/>
      <c r="D142" s="39"/>
      <c r="E142" s="39"/>
      <c r="F142" s="39"/>
      <c r="G142" s="39"/>
      <c r="H142" s="39"/>
    </row>
    <row r="143">
      <c r="A143" s="37"/>
      <c r="B143" s="38"/>
      <c r="C143" s="39"/>
      <c r="D143" s="39"/>
      <c r="E143" s="39"/>
      <c r="F143" s="39"/>
      <c r="G143" s="39"/>
      <c r="H143" s="39"/>
    </row>
    <row r="144">
      <c r="A144" s="37"/>
      <c r="B144" s="38"/>
      <c r="C144" s="39"/>
      <c r="D144" s="39"/>
      <c r="E144" s="39"/>
      <c r="F144" s="39"/>
      <c r="G144" s="39"/>
      <c r="H144" s="39"/>
    </row>
    <row r="145">
      <c r="A145" s="37"/>
      <c r="B145" s="38"/>
      <c r="C145" s="39"/>
      <c r="D145" s="39"/>
      <c r="E145" s="39"/>
      <c r="F145" s="39"/>
      <c r="G145" s="39"/>
      <c r="H145" s="39"/>
    </row>
    <row r="146">
      <c r="A146" s="37"/>
      <c r="B146" s="38"/>
      <c r="C146" s="39"/>
      <c r="D146" s="39"/>
      <c r="E146" s="39"/>
      <c r="F146" s="39"/>
      <c r="G146" s="39"/>
      <c r="H146" s="39"/>
    </row>
    <row r="147">
      <c r="A147" s="37"/>
      <c r="B147" s="38"/>
      <c r="C147" s="39"/>
      <c r="D147" s="39"/>
      <c r="E147" s="39"/>
      <c r="F147" s="39"/>
      <c r="G147" s="39"/>
      <c r="H147" s="39"/>
    </row>
    <row r="148">
      <c r="A148" s="37"/>
      <c r="B148" s="38"/>
      <c r="C148" s="39"/>
      <c r="D148" s="39"/>
      <c r="E148" s="39"/>
      <c r="F148" s="39"/>
      <c r="G148" s="39"/>
      <c r="H148" s="39"/>
    </row>
    <row r="149">
      <c r="A149" s="37"/>
      <c r="B149" s="38"/>
      <c r="C149" s="39"/>
      <c r="D149" s="39"/>
      <c r="E149" s="39"/>
      <c r="F149" s="39"/>
      <c r="G149" s="39"/>
      <c r="H149" s="39"/>
    </row>
    <row r="150">
      <c r="A150" s="37"/>
      <c r="B150" s="38"/>
      <c r="C150" s="39"/>
      <c r="D150" s="39"/>
      <c r="E150" s="39"/>
      <c r="F150" s="39"/>
      <c r="G150" s="39"/>
      <c r="H150" s="39"/>
    </row>
    <row r="151">
      <c r="A151" s="37"/>
      <c r="B151" s="38"/>
      <c r="C151" s="39"/>
      <c r="D151" s="39"/>
      <c r="E151" s="39"/>
      <c r="F151" s="39"/>
      <c r="G151" s="39"/>
      <c r="H151" s="39"/>
    </row>
    <row r="152">
      <c r="A152" s="37"/>
      <c r="B152" s="38"/>
      <c r="C152" s="39"/>
      <c r="D152" s="39"/>
      <c r="E152" s="39"/>
      <c r="F152" s="39"/>
      <c r="G152" s="39"/>
      <c r="H152" s="39"/>
    </row>
    <row r="153">
      <c r="A153" s="37"/>
      <c r="B153" s="38"/>
      <c r="C153" s="39"/>
      <c r="D153" s="39"/>
      <c r="E153" s="39"/>
      <c r="F153" s="39"/>
      <c r="G153" s="39"/>
      <c r="H153" s="39"/>
    </row>
    <row r="154">
      <c r="A154" s="37"/>
      <c r="B154" s="38"/>
      <c r="C154" s="39"/>
      <c r="D154" s="39"/>
      <c r="E154" s="39"/>
      <c r="F154" s="39"/>
      <c r="G154" s="39"/>
      <c r="H154" s="39"/>
    </row>
    <row r="155">
      <c r="A155" s="37"/>
      <c r="B155" s="38"/>
      <c r="C155" s="39"/>
      <c r="D155" s="39"/>
      <c r="E155" s="39"/>
      <c r="F155" s="39"/>
      <c r="G155" s="39"/>
      <c r="H155" s="39"/>
    </row>
    <row r="156">
      <c r="A156" s="37"/>
      <c r="B156" s="38"/>
      <c r="C156" s="39"/>
      <c r="D156" s="39"/>
      <c r="E156" s="39"/>
      <c r="F156" s="39"/>
      <c r="G156" s="39"/>
      <c r="H156" s="39"/>
    </row>
    <row r="157">
      <c r="A157" s="37"/>
      <c r="B157" s="38"/>
      <c r="C157" s="39"/>
      <c r="D157" s="39"/>
      <c r="E157" s="39"/>
      <c r="F157" s="39"/>
      <c r="G157" s="39"/>
      <c r="H157" s="39"/>
    </row>
    <row r="158">
      <c r="A158" s="37"/>
      <c r="B158" s="38"/>
      <c r="C158" s="39"/>
      <c r="D158" s="39"/>
      <c r="E158" s="39"/>
      <c r="F158" s="39"/>
      <c r="G158" s="39"/>
      <c r="H158" s="39"/>
    </row>
    <row r="159">
      <c r="A159" s="37"/>
      <c r="B159" s="38"/>
      <c r="C159" s="39"/>
      <c r="D159" s="39"/>
      <c r="E159" s="39"/>
      <c r="F159" s="39"/>
      <c r="G159" s="39"/>
      <c r="H159" s="39"/>
    </row>
    <row r="160">
      <c r="A160" s="37"/>
      <c r="B160" s="38"/>
      <c r="C160" s="39"/>
      <c r="D160" s="39"/>
      <c r="E160" s="39"/>
      <c r="F160" s="39"/>
      <c r="G160" s="39"/>
      <c r="H160" s="39"/>
    </row>
    <row r="161">
      <c r="A161" s="37"/>
      <c r="B161" s="38"/>
      <c r="C161" s="39"/>
      <c r="D161" s="39"/>
      <c r="E161" s="39"/>
      <c r="F161" s="39"/>
      <c r="G161" s="39"/>
      <c r="H161" s="39"/>
    </row>
    <row r="162">
      <c r="A162" s="37"/>
      <c r="B162" s="38"/>
      <c r="C162" s="39"/>
      <c r="D162" s="39"/>
      <c r="E162" s="39"/>
      <c r="F162" s="39"/>
      <c r="G162" s="39"/>
      <c r="H162" s="39"/>
    </row>
    <row r="163">
      <c r="A163" s="37"/>
      <c r="B163" s="38"/>
      <c r="C163" s="39"/>
      <c r="D163" s="39"/>
      <c r="E163" s="39"/>
      <c r="F163" s="39"/>
      <c r="G163" s="39"/>
      <c r="H163" s="39"/>
    </row>
    <row r="164">
      <c r="A164" s="37"/>
      <c r="B164" s="38"/>
      <c r="C164" s="39"/>
      <c r="D164" s="39"/>
      <c r="E164" s="39"/>
      <c r="F164" s="39"/>
      <c r="G164" s="39"/>
      <c r="H164" s="39"/>
    </row>
    <row r="165">
      <c r="A165" s="37"/>
      <c r="B165" s="38"/>
      <c r="C165" s="39"/>
      <c r="D165" s="39"/>
      <c r="E165" s="39"/>
      <c r="F165" s="39"/>
      <c r="G165" s="39"/>
      <c r="H165" s="39"/>
    </row>
    <row r="166">
      <c r="A166" s="37"/>
      <c r="B166" s="38"/>
      <c r="C166" s="39"/>
      <c r="D166" s="39"/>
      <c r="E166" s="39"/>
      <c r="F166" s="39"/>
      <c r="G166" s="39"/>
      <c r="H166" s="39"/>
    </row>
    <row r="167">
      <c r="A167" s="37"/>
      <c r="B167" s="38"/>
      <c r="C167" s="39"/>
      <c r="D167" s="39"/>
      <c r="E167" s="39"/>
      <c r="F167" s="39"/>
      <c r="G167" s="39"/>
      <c r="H167" s="39"/>
    </row>
    <row r="168">
      <c r="A168" s="37"/>
      <c r="B168" s="38"/>
      <c r="C168" s="39"/>
      <c r="D168" s="39"/>
      <c r="E168" s="39"/>
      <c r="F168" s="39"/>
      <c r="G168" s="39"/>
      <c r="H168" s="39"/>
    </row>
    <row r="169">
      <c r="A169" s="37"/>
      <c r="B169" s="38"/>
      <c r="C169" s="39"/>
      <c r="D169" s="39"/>
      <c r="E169" s="39"/>
      <c r="F169" s="39"/>
      <c r="G169" s="39"/>
      <c r="H169" s="39"/>
    </row>
    <row r="170">
      <c r="A170" s="37"/>
      <c r="B170" s="38"/>
      <c r="C170" s="39"/>
      <c r="D170" s="39"/>
      <c r="E170" s="39"/>
      <c r="F170" s="39"/>
      <c r="G170" s="39"/>
      <c r="H170" s="39"/>
    </row>
    <row r="171">
      <c r="A171" s="37"/>
      <c r="B171" s="38"/>
      <c r="C171" s="39"/>
      <c r="D171" s="39"/>
      <c r="E171" s="39"/>
      <c r="F171" s="39"/>
      <c r="G171" s="39"/>
      <c r="H171" s="39"/>
    </row>
    <row r="172">
      <c r="A172" s="37"/>
      <c r="B172" s="38"/>
      <c r="C172" s="39"/>
      <c r="D172" s="39"/>
      <c r="E172" s="39"/>
      <c r="F172" s="39"/>
      <c r="G172" s="39"/>
      <c r="H172" s="39"/>
    </row>
    <row r="173">
      <c r="A173" s="37"/>
      <c r="B173" s="38"/>
      <c r="C173" s="39"/>
      <c r="D173" s="39"/>
      <c r="E173" s="39"/>
      <c r="F173" s="39"/>
      <c r="G173" s="39"/>
      <c r="H173" s="39"/>
    </row>
    <row r="174">
      <c r="A174" s="37"/>
      <c r="B174" s="38"/>
      <c r="C174" s="39"/>
      <c r="D174" s="39"/>
      <c r="E174" s="39"/>
      <c r="F174" s="39"/>
      <c r="G174" s="39"/>
      <c r="H174" s="39"/>
    </row>
    <row r="175">
      <c r="A175" s="37"/>
      <c r="B175" s="38"/>
      <c r="C175" s="39"/>
      <c r="D175" s="39"/>
      <c r="E175" s="39"/>
      <c r="F175" s="39"/>
      <c r="G175" s="39"/>
      <c r="H175" s="39"/>
    </row>
    <row r="176">
      <c r="A176" s="37"/>
      <c r="B176" s="38"/>
      <c r="C176" s="39"/>
      <c r="D176" s="39"/>
      <c r="E176" s="39"/>
      <c r="F176" s="39"/>
      <c r="G176" s="39"/>
      <c r="H176" s="39"/>
    </row>
    <row r="177">
      <c r="A177" s="37"/>
      <c r="B177" s="38"/>
      <c r="C177" s="39"/>
      <c r="D177" s="39"/>
      <c r="E177" s="39"/>
      <c r="F177" s="39"/>
      <c r="G177" s="39"/>
      <c r="H177" s="39"/>
    </row>
    <row r="178">
      <c r="A178" s="37"/>
      <c r="B178" s="38"/>
      <c r="C178" s="39"/>
      <c r="D178" s="39"/>
      <c r="E178" s="39"/>
      <c r="F178" s="39"/>
      <c r="G178" s="39"/>
      <c r="H178" s="39"/>
    </row>
    <row r="179">
      <c r="A179" s="37"/>
      <c r="B179" s="38"/>
      <c r="C179" s="39"/>
      <c r="D179" s="39"/>
      <c r="E179" s="39"/>
      <c r="F179" s="39"/>
      <c r="G179" s="39"/>
      <c r="H179" s="39"/>
    </row>
    <row r="180">
      <c r="A180" s="37"/>
      <c r="B180" s="38"/>
      <c r="C180" s="39"/>
      <c r="D180" s="39"/>
      <c r="E180" s="39"/>
      <c r="F180" s="39"/>
      <c r="G180" s="39"/>
      <c r="H180" s="39"/>
    </row>
    <row r="181">
      <c r="A181" s="37"/>
      <c r="B181" s="38"/>
      <c r="C181" s="39"/>
      <c r="D181" s="39"/>
      <c r="E181" s="39"/>
      <c r="F181" s="39"/>
      <c r="G181" s="39"/>
      <c r="H181" s="39"/>
    </row>
    <row r="182">
      <c r="A182" s="37"/>
      <c r="B182" s="38"/>
      <c r="C182" s="39"/>
      <c r="D182" s="39"/>
      <c r="E182" s="39"/>
      <c r="F182" s="39"/>
      <c r="G182" s="39"/>
      <c r="H182" s="39"/>
    </row>
    <row r="183">
      <c r="A183" s="37"/>
      <c r="B183" s="38"/>
      <c r="C183" s="39"/>
      <c r="D183" s="39"/>
      <c r="E183" s="39"/>
      <c r="F183" s="39"/>
      <c r="G183" s="39"/>
      <c r="H183" s="39"/>
    </row>
    <row r="184">
      <c r="A184" s="37"/>
      <c r="B184" s="38"/>
      <c r="C184" s="39"/>
      <c r="D184" s="39"/>
      <c r="E184" s="39"/>
      <c r="F184" s="39"/>
      <c r="G184" s="39"/>
      <c r="H184" s="39"/>
    </row>
    <row r="185">
      <c r="A185" s="37"/>
      <c r="B185" s="38"/>
      <c r="C185" s="39"/>
      <c r="D185" s="39"/>
      <c r="E185" s="39"/>
      <c r="F185" s="39"/>
      <c r="G185" s="39"/>
      <c r="H185" s="39"/>
    </row>
    <row r="186">
      <c r="A186" s="37"/>
      <c r="B186" s="38"/>
      <c r="C186" s="39"/>
      <c r="D186" s="39"/>
      <c r="E186" s="39"/>
      <c r="F186" s="39"/>
      <c r="G186" s="39"/>
      <c r="H186" s="39"/>
    </row>
    <row r="187">
      <c r="A187" s="37"/>
      <c r="B187" s="38"/>
      <c r="C187" s="39"/>
      <c r="D187" s="39"/>
      <c r="E187" s="39"/>
      <c r="F187" s="39"/>
      <c r="G187" s="39"/>
      <c r="H187" s="39"/>
    </row>
    <row r="188">
      <c r="A188" s="37"/>
      <c r="B188" s="38"/>
      <c r="C188" s="39"/>
      <c r="D188" s="39"/>
      <c r="E188" s="39"/>
      <c r="F188" s="39"/>
      <c r="G188" s="39"/>
      <c r="H188" s="39"/>
    </row>
    <row r="189">
      <c r="A189" s="37"/>
      <c r="B189" s="38"/>
      <c r="C189" s="39"/>
      <c r="D189" s="39"/>
      <c r="E189" s="39"/>
      <c r="F189" s="39"/>
      <c r="G189" s="39"/>
      <c r="H189" s="39"/>
    </row>
    <row r="190">
      <c r="A190" s="37"/>
      <c r="B190" s="38"/>
      <c r="C190" s="39"/>
      <c r="D190" s="39"/>
      <c r="E190" s="39"/>
      <c r="F190" s="39"/>
      <c r="G190" s="39"/>
      <c r="H190" s="39"/>
    </row>
    <row r="191">
      <c r="A191" s="37"/>
      <c r="B191" s="38"/>
      <c r="C191" s="39"/>
      <c r="D191" s="39"/>
      <c r="E191" s="39"/>
      <c r="F191" s="39"/>
      <c r="G191" s="39"/>
      <c r="H191" s="39"/>
    </row>
    <row r="192">
      <c r="A192" s="37"/>
      <c r="B192" s="38"/>
      <c r="C192" s="39"/>
      <c r="D192" s="39"/>
      <c r="E192" s="39"/>
      <c r="F192" s="39"/>
      <c r="G192" s="39"/>
      <c r="H192" s="39"/>
    </row>
    <row r="193">
      <c r="A193" s="37"/>
      <c r="B193" s="38"/>
      <c r="C193" s="39"/>
      <c r="D193" s="39"/>
      <c r="E193" s="39"/>
      <c r="F193" s="39"/>
      <c r="G193" s="39"/>
      <c r="H193" s="39"/>
    </row>
    <row r="194">
      <c r="A194" s="37"/>
      <c r="B194" s="38"/>
      <c r="C194" s="39"/>
      <c r="D194" s="39"/>
      <c r="E194" s="39"/>
      <c r="F194" s="39"/>
      <c r="G194" s="39"/>
      <c r="H194" s="39"/>
    </row>
    <row r="195">
      <c r="A195" s="37"/>
      <c r="B195" s="38"/>
      <c r="C195" s="39"/>
      <c r="D195" s="39"/>
      <c r="E195" s="39"/>
      <c r="F195" s="39"/>
      <c r="G195" s="39"/>
      <c r="H195" s="39"/>
    </row>
    <row r="196">
      <c r="A196" s="37"/>
      <c r="B196" s="38"/>
      <c r="C196" s="39"/>
      <c r="D196" s="39"/>
      <c r="E196" s="39"/>
      <c r="F196" s="39"/>
      <c r="G196" s="39"/>
      <c r="H196" s="39"/>
    </row>
    <row r="197">
      <c r="A197" s="37"/>
      <c r="B197" s="38"/>
      <c r="C197" s="39"/>
      <c r="D197" s="39"/>
      <c r="E197" s="39"/>
      <c r="F197" s="39"/>
      <c r="G197" s="39"/>
      <c r="H197" s="39"/>
    </row>
    <row r="198">
      <c r="A198" s="37"/>
      <c r="B198" s="38"/>
      <c r="C198" s="39"/>
      <c r="D198" s="39"/>
      <c r="E198" s="39"/>
      <c r="F198" s="39"/>
      <c r="G198" s="39"/>
      <c r="H198" s="39"/>
    </row>
    <row r="199">
      <c r="A199" s="37"/>
      <c r="B199" s="38"/>
      <c r="C199" s="39"/>
      <c r="D199" s="39"/>
      <c r="E199" s="39"/>
      <c r="F199" s="39"/>
      <c r="G199" s="39"/>
      <c r="H199" s="39"/>
    </row>
    <row r="200">
      <c r="A200" s="37"/>
      <c r="B200" s="38"/>
      <c r="C200" s="39"/>
      <c r="D200" s="39"/>
      <c r="E200" s="39"/>
      <c r="F200" s="39"/>
      <c r="G200" s="39"/>
      <c r="H200" s="39"/>
    </row>
    <row r="201">
      <c r="A201" s="37"/>
      <c r="B201" s="38"/>
      <c r="C201" s="39"/>
      <c r="D201" s="39"/>
      <c r="E201" s="39"/>
      <c r="F201" s="39"/>
      <c r="G201" s="39"/>
      <c r="H201" s="39"/>
    </row>
    <row r="202">
      <c r="A202" s="37"/>
      <c r="B202" s="38"/>
      <c r="C202" s="39"/>
      <c r="D202" s="39"/>
      <c r="E202" s="39"/>
      <c r="F202" s="39"/>
      <c r="G202" s="39"/>
      <c r="H202" s="39"/>
    </row>
    <row r="203">
      <c r="A203" s="37"/>
      <c r="B203" s="38"/>
      <c r="C203" s="39"/>
      <c r="D203" s="39"/>
      <c r="E203" s="39"/>
      <c r="F203" s="39"/>
      <c r="G203" s="39"/>
      <c r="H203" s="39"/>
    </row>
    <row r="204">
      <c r="A204" s="37"/>
      <c r="B204" s="38"/>
      <c r="C204" s="39"/>
      <c r="D204" s="39"/>
      <c r="E204" s="39"/>
      <c r="F204" s="39"/>
      <c r="G204" s="39"/>
      <c r="H204" s="39"/>
    </row>
    <row r="205">
      <c r="A205" s="37"/>
      <c r="B205" s="38"/>
      <c r="C205" s="39"/>
      <c r="D205" s="39"/>
      <c r="E205" s="39"/>
      <c r="F205" s="39"/>
      <c r="G205" s="39"/>
      <c r="H205" s="39"/>
    </row>
    <row r="206">
      <c r="A206" s="37"/>
      <c r="B206" s="38"/>
      <c r="C206" s="39"/>
      <c r="D206" s="39"/>
      <c r="E206" s="39"/>
      <c r="F206" s="39"/>
      <c r="G206" s="39"/>
      <c r="H206" s="39"/>
    </row>
    <row r="207">
      <c r="A207" s="37"/>
      <c r="B207" s="38"/>
      <c r="C207" s="39"/>
      <c r="D207" s="39"/>
      <c r="E207" s="39"/>
      <c r="F207" s="39"/>
      <c r="G207" s="39"/>
      <c r="H207" s="39"/>
    </row>
    <row r="208">
      <c r="A208" s="37"/>
      <c r="B208" s="38"/>
      <c r="C208" s="39"/>
      <c r="D208" s="39"/>
      <c r="E208" s="39"/>
      <c r="F208" s="39"/>
      <c r="G208" s="39"/>
      <c r="H208" s="39"/>
    </row>
    <row r="209">
      <c r="A209" s="37"/>
      <c r="B209" s="38"/>
      <c r="C209" s="39"/>
      <c r="D209" s="39"/>
      <c r="E209" s="39"/>
      <c r="F209" s="39"/>
      <c r="G209" s="39"/>
      <c r="H209" s="39"/>
    </row>
    <row r="210">
      <c r="A210" s="37"/>
      <c r="B210" s="38"/>
      <c r="C210" s="39"/>
      <c r="D210" s="39"/>
      <c r="E210" s="39"/>
      <c r="F210" s="39"/>
      <c r="G210" s="39"/>
      <c r="H210" s="39"/>
    </row>
    <row r="211">
      <c r="A211" s="37"/>
      <c r="B211" s="38"/>
      <c r="C211" s="39"/>
      <c r="D211" s="39"/>
      <c r="E211" s="39"/>
      <c r="F211" s="39"/>
      <c r="G211" s="39"/>
      <c r="H211" s="39"/>
    </row>
    <row r="212">
      <c r="A212" s="37"/>
      <c r="B212" s="38"/>
      <c r="C212" s="39"/>
      <c r="D212" s="39"/>
      <c r="E212" s="39"/>
      <c r="F212" s="39"/>
      <c r="G212" s="39"/>
      <c r="H212" s="39"/>
    </row>
    <row r="213">
      <c r="A213" s="37"/>
      <c r="B213" s="38"/>
      <c r="C213" s="39"/>
      <c r="D213" s="39"/>
      <c r="E213" s="39"/>
      <c r="F213" s="39"/>
      <c r="G213" s="39"/>
      <c r="H213" s="39"/>
    </row>
    <row r="214">
      <c r="A214" s="37"/>
      <c r="B214" s="38"/>
      <c r="C214" s="39"/>
      <c r="D214" s="39"/>
      <c r="E214" s="39"/>
      <c r="F214" s="39"/>
      <c r="G214" s="39"/>
      <c r="H214" s="39"/>
    </row>
    <row r="215">
      <c r="A215" s="37"/>
      <c r="B215" s="38"/>
      <c r="C215" s="39"/>
      <c r="D215" s="39"/>
      <c r="E215" s="39"/>
      <c r="F215" s="39"/>
      <c r="G215" s="39"/>
      <c r="H215" s="39"/>
    </row>
    <row r="216">
      <c r="A216" s="37"/>
      <c r="B216" s="38"/>
      <c r="C216" s="39"/>
      <c r="D216" s="39"/>
      <c r="E216" s="39"/>
      <c r="F216" s="39"/>
      <c r="G216" s="39"/>
      <c r="H216" s="39"/>
    </row>
    <row r="217">
      <c r="A217" s="37"/>
      <c r="B217" s="38"/>
      <c r="C217" s="39"/>
      <c r="D217" s="39"/>
      <c r="E217" s="39"/>
      <c r="F217" s="39"/>
      <c r="G217" s="39"/>
      <c r="H217" s="39"/>
    </row>
    <row r="218">
      <c r="A218" s="37"/>
      <c r="B218" s="38"/>
      <c r="C218" s="39"/>
      <c r="D218" s="39"/>
      <c r="E218" s="39"/>
      <c r="F218" s="39"/>
      <c r="G218" s="39"/>
      <c r="H218" s="39"/>
    </row>
    <row r="219">
      <c r="A219" s="37"/>
      <c r="B219" s="38"/>
      <c r="C219" s="39"/>
      <c r="D219" s="39"/>
      <c r="E219" s="39"/>
      <c r="F219" s="39"/>
      <c r="G219" s="39"/>
      <c r="H219" s="39"/>
    </row>
    <row r="220">
      <c r="A220" s="37"/>
      <c r="B220" s="38"/>
      <c r="C220" s="39"/>
      <c r="D220" s="39"/>
      <c r="E220" s="39"/>
      <c r="F220" s="39"/>
      <c r="G220" s="39"/>
      <c r="H220" s="39"/>
    </row>
    <row r="221">
      <c r="A221" s="37"/>
      <c r="B221" s="38"/>
      <c r="C221" s="39"/>
      <c r="D221" s="39"/>
      <c r="E221" s="39"/>
      <c r="F221" s="39"/>
      <c r="G221" s="39"/>
      <c r="H221" s="39"/>
    </row>
    <row r="222">
      <c r="A222" s="37"/>
      <c r="B222" s="38"/>
      <c r="C222" s="39"/>
      <c r="D222" s="39"/>
      <c r="E222" s="39"/>
      <c r="F222" s="39"/>
      <c r="G222" s="39"/>
      <c r="H222" s="39"/>
    </row>
    <row r="223">
      <c r="A223" s="37"/>
      <c r="B223" s="38"/>
      <c r="C223" s="39"/>
      <c r="D223" s="39"/>
      <c r="E223" s="39"/>
      <c r="F223" s="39"/>
      <c r="G223" s="39"/>
      <c r="H223" s="39"/>
    </row>
    <row r="224">
      <c r="A224" s="37"/>
      <c r="B224" s="38"/>
      <c r="C224" s="39"/>
      <c r="D224" s="39"/>
      <c r="E224" s="39"/>
      <c r="F224" s="39"/>
      <c r="G224" s="39"/>
      <c r="H224" s="39"/>
    </row>
    <row r="225">
      <c r="A225" s="37"/>
      <c r="B225" s="38"/>
      <c r="C225" s="39"/>
      <c r="D225" s="39"/>
      <c r="E225" s="39"/>
      <c r="F225" s="39"/>
      <c r="G225" s="39"/>
      <c r="H225" s="39"/>
    </row>
    <row r="226">
      <c r="A226" s="37"/>
      <c r="B226" s="38"/>
      <c r="C226" s="39"/>
      <c r="D226" s="39"/>
      <c r="E226" s="39"/>
      <c r="F226" s="39"/>
      <c r="G226" s="39"/>
      <c r="H226" s="39"/>
    </row>
    <row r="227">
      <c r="A227" s="37"/>
      <c r="B227" s="38"/>
      <c r="C227" s="39"/>
      <c r="D227" s="39"/>
      <c r="E227" s="39"/>
      <c r="F227" s="39"/>
      <c r="G227" s="39"/>
      <c r="H227" s="39"/>
    </row>
    <row r="228">
      <c r="A228" s="37"/>
      <c r="B228" s="38"/>
      <c r="C228" s="39"/>
      <c r="D228" s="39"/>
      <c r="E228" s="39"/>
      <c r="F228" s="39"/>
      <c r="G228" s="39"/>
      <c r="H228" s="39"/>
    </row>
    <row r="229">
      <c r="A229" s="37"/>
      <c r="B229" s="38"/>
      <c r="C229" s="39"/>
      <c r="D229" s="39"/>
      <c r="E229" s="39"/>
      <c r="F229" s="39"/>
      <c r="G229" s="39"/>
      <c r="H229" s="39"/>
    </row>
    <row r="230">
      <c r="A230" s="37"/>
      <c r="B230" s="38"/>
      <c r="C230" s="39"/>
      <c r="D230" s="39"/>
      <c r="E230" s="39"/>
      <c r="F230" s="39"/>
      <c r="G230" s="39"/>
      <c r="H230" s="39"/>
    </row>
    <row r="231">
      <c r="A231" s="37"/>
      <c r="B231" s="38"/>
      <c r="C231" s="39"/>
      <c r="D231" s="39"/>
      <c r="E231" s="39"/>
      <c r="F231" s="39"/>
      <c r="G231" s="39"/>
      <c r="H231" s="39"/>
    </row>
    <row r="232">
      <c r="A232" s="37"/>
      <c r="B232" s="38"/>
      <c r="C232" s="39"/>
      <c r="D232" s="39"/>
      <c r="E232" s="39"/>
      <c r="F232" s="39"/>
      <c r="G232" s="39"/>
      <c r="H232" s="39"/>
    </row>
    <row r="233">
      <c r="A233" s="37"/>
      <c r="B233" s="38"/>
      <c r="C233" s="39"/>
      <c r="D233" s="39"/>
      <c r="E233" s="39"/>
      <c r="F233" s="39"/>
      <c r="G233" s="39"/>
      <c r="H233" s="39"/>
    </row>
    <row r="234">
      <c r="A234" s="37"/>
      <c r="B234" s="38"/>
      <c r="C234" s="39"/>
      <c r="D234" s="39"/>
      <c r="E234" s="39"/>
      <c r="F234" s="39"/>
      <c r="G234" s="39"/>
      <c r="H234" s="39"/>
    </row>
    <row r="235">
      <c r="A235" s="37"/>
      <c r="B235" s="38"/>
      <c r="C235" s="39"/>
      <c r="D235" s="39"/>
      <c r="E235" s="39"/>
      <c r="F235" s="39"/>
      <c r="G235" s="39"/>
      <c r="H235" s="39"/>
    </row>
    <row r="236">
      <c r="A236" s="37"/>
      <c r="B236" s="38"/>
      <c r="C236" s="39"/>
      <c r="D236" s="39"/>
      <c r="E236" s="39"/>
      <c r="F236" s="39"/>
      <c r="G236" s="39"/>
      <c r="H236" s="39"/>
    </row>
    <row r="237">
      <c r="A237" s="37"/>
      <c r="B237" s="38"/>
      <c r="C237" s="39"/>
      <c r="D237" s="39"/>
      <c r="E237" s="39"/>
      <c r="F237" s="39"/>
      <c r="G237" s="39"/>
      <c r="H237" s="39"/>
    </row>
    <row r="238">
      <c r="A238" s="37"/>
      <c r="B238" s="38"/>
      <c r="C238" s="39"/>
      <c r="D238" s="39"/>
      <c r="E238" s="39"/>
      <c r="F238" s="39"/>
      <c r="G238" s="39"/>
      <c r="H238" s="39"/>
    </row>
    <row r="239">
      <c r="A239" s="37"/>
      <c r="B239" s="38"/>
      <c r="C239" s="39"/>
      <c r="D239" s="39"/>
      <c r="E239" s="39"/>
      <c r="F239" s="39"/>
      <c r="G239" s="39"/>
      <c r="H239" s="39"/>
    </row>
    <row r="240">
      <c r="A240" s="37"/>
      <c r="B240" s="38"/>
      <c r="C240" s="39"/>
      <c r="D240" s="39"/>
      <c r="E240" s="39"/>
      <c r="F240" s="39"/>
      <c r="G240" s="39"/>
      <c r="H240" s="39"/>
    </row>
    <row r="241">
      <c r="A241" s="37"/>
      <c r="B241" s="38"/>
      <c r="C241" s="39"/>
      <c r="D241" s="39"/>
      <c r="E241" s="39"/>
      <c r="F241" s="39"/>
      <c r="G241" s="39"/>
      <c r="H241" s="39"/>
    </row>
    <row r="242">
      <c r="A242" s="37"/>
      <c r="B242" s="38"/>
      <c r="C242" s="39"/>
      <c r="D242" s="39"/>
      <c r="E242" s="39"/>
      <c r="F242" s="39"/>
      <c r="G242" s="39"/>
      <c r="H242" s="39"/>
    </row>
    <row r="243">
      <c r="A243" s="37"/>
      <c r="B243" s="38"/>
      <c r="C243" s="39"/>
      <c r="D243" s="39"/>
      <c r="E243" s="39"/>
      <c r="F243" s="39"/>
      <c r="G243" s="39"/>
      <c r="H243" s="39"/>
    </row>
    <row r="244">
      <c r="A244" s="37"/>
      <c r="B244" s="38"/>
      <c r="C244" s="39"/>
      <c r="D244" s="39"/>
      <c r="E244" s="39"/>
      <c r="F244" s="39"/>
      <c r="G244" s="39"/>
      <c r="H244" s="39"/>
    </row>
    <row r="245">
      <c r="A245" s="37"/>
      <c r="B245" s="38"/>
      <c r="C245" s="39"/>
      <c r="D245" s="39"/>
      <c r="E245" s="39"/>
      <c r="F245" s="39"/>
      <c r="G245" s="39"/>
      <c r="H245" s="39"/>
    </row>
    <row r="246">
      <c r="A246" s="37"/>
      <c r="B246" s="38"/>
      <c r="C246" s="39"/>
      <c r="D246" s="39"/>
      <c r="E246" s="39"/>
      <c r="F246" s="39"/>
      <c r="G246" s="39"/>
      <c r="H246" s="39"/>
    </row>
    <row r="247">
      <c r="A247" s="37"/>
      <c r="B247" s="38"/>
      <c r="C247" s="39"/>
      <c r="D247" s="39"/>
      <c r="E247" s="39"/>
      <c r="F247" s="39"/>
      <c r="G247" s="39"/>
      <c r="H247" s="39"/>
    </row>
    <row r="248">
      <c r="A248" s="37"/>
      <c r="B248" s="38"/>
      <c r="C248" s="39"/>
      <c r="D248" s="39"/>
      <c r="E248" s="39"/>
      <c r="F248" s="39"/>
      <c r="G248" s="39"/>
      <c r="H248" s="39"/>
    </row>
    <row r="249">
      <c r="A249" s="37"/>
      <c r="B249" s="38"/>
      <c r="C249" s="39"/>
      <c r="D249" s="39"/>
      <c r="E249" s="39"/>
      <c r="F249" s="39"/>
      <c r="G249" s="39"/>
      <c r="H249" s="39"/>
    </row>
    <row r="250">
      <c r="A250" s="37"/>
      <c r="B250" s="38"/>
      <c r="C250" s="39"/>
      <c r="D250" s="39"/>
      <c r="E250" s="39"/>
      <c r="F250" s="39"/>
      <c r="G250" s="39"/>
      <c r="H250" s="39"/>
    </row>
    <row r="251">
      <c r="A251" s="37"/>
      <c r="B251" s="38"/>
      <c r="C251" s="39"/>
      <c r="D251" s="39"/>
      <c r="E251" s="39"/>
      <c r="F251" s="39"/>
      <c r="G251" s="39"/>
      <c r="H251" s="39"/>
    </row>
    <row r="252">
      <c r="A252" s="37"/>
      <c r="B252" s="38"/>
      <c r="C252" s="39"/>
      <c r="D252" s="39"/>
      <c r="E252" s="39"/>
      <c r="F252" s="39"/>
      <c r="G252" s="39"/>
      <c r="H252" s="39"/>
    </row>
    <row r="253">
      <c r="A253" s="37"/>
      <c r="B253" s="38"/>
      <c r="C253" s="39"/>
      <c r="D253" s="39"/>
      <c r="E253" s="39"/>
      <c r="F253" s="39"/>
      <c r="G253" s="39"/>
      <c r="H253" s="39"/>
    </row>
    <row r="254">
      <c r="A254" s="37"/>
      <c r="B254" s="38"/>
      <c r="C254" s="39"/>
      <c r="D254" s="39"/>
      <c r="E254" s="39"/>
      <c r="F254" s="39"/>
      <c r="G254" s="39"/>
      <c r="H254" s="39"/>
    </row>
    <row r="255">
      <c r="A255" s="37"/>
      <c r="B255" s="38"/>
      <c r="C255" s="39"/>
      <c r="D255" s="39"/>
      <c r="E255" s="39"/>
      <c r="F255" s="39"/>
      <c r="G255" s="39"/>
      <c r="H255" s="39"/>
    </row>
    <row r="256">
      <c r="A256" s="37"/>
      <c r="B256" s="38"/>
      <c r="C256" s="39"/>
      <c r="D256" s="39"/>
      <c r="E256" s="39"/>
      <c r="F256" s="39"/>
      <c r="G256" s="39"/>
      <c r="H256" s="39"/>
    </row>
    <row r="257">
      <c r="A257" s="37"/>
      <c r="B257" s="38"/>
      <c r="C257" s="39"/>
      <c r="D257" s="39"/>
      <c r="E257" s="39"/>
      <c r="F257" s="39"/>
      <c r="G257" s="39"/>
      <c r="H257" s="39"/>
    </row>
    <row r="258">
      <c r="A258" s="37"/>
      <c r="B258" s="38"/>
      <c r="C258" s="39"/>
      <c r="D258" s="39"/>
      <c r="E258" s="39"/>
      <c r="F258" s="39"/>
      <c r="G258" s="39"/>
      <c r="H258" s="39"/>
    </row>
    <row r="259">
      <c r="A259" s="37"/>
      <c r="B259" s="38"/>
      <c r="C259" s="39"/>
      <c r="D259" s="39"/>
      <c r="E259" s="39"/>
      <c r="F259" s="39"/>
      <c r="G259" s="39"/>
      <c r="H259" s="39"/>
    </row>
    <row r="260">
      <c r="A260" s="37"/>
      <c r="B260" s="38"/>
      <c r="C260" s="39"/>
      <c r="D260" s="39"/>
      <c r="E260" s="39"/>
      <c r="F260" s="39"/>
      <c r="G260" s="39"/>
      <c r="H260" s="39"/>
    </row>
    <row r="261">
      <c r="A261" s="37"/>
      <c r="B261" s="38"/>
      <c r="C261" s="39"/>
      <c r="D261" s="39"/>
      <c r="E261" s="39"/>
      <c r="F261" s="39"/>
      <c r="G261" s="39"/>
      <c r="H261" s="39"/>
    </row>
    <row r="262">
      <c r="A262" s="37"/>
      <c r="B262" s="38"/>
      <c r="C262" s="39"/>
      <c r="D262" s="39"/>
      <c r="E262" s="39"/>
      <c r="F262" s="39"/>
      <c r="G262" s="39"/>
      <c r="H262" s="39"/>
    </row>
    <row r="263">
      <c r="A263" s="37"/>
      <c r="B263" s="38"/>
      <c r="C263" s="39"/>
      <c r="D263" s="39"/>
      <c r="E263" s="39"/>
      <c r="F263" s="39"/>
      <c r="G263" s="39"/>
      <c r="H263" s="39"/>
    </row>
    <row r="264">
      <c r="A264" s="37"/>
      <c r="B264" s="38"/>
      <c r="C264" s="39"/>
      <c r="D264" s="39"/>
      <c r="E264" s="39"/>
      <c r="F264" s="39"/>
      <c r="G264" s="39"/>
      <c r="H264" s="39"/>
    </row>
    <row r="265">
      <c r="A265" s="37"/>
      <c r="B265" s="38"/>
      <c r="C265" s="39"/>
      <c r="D265" s="39"/>
      <c r="E265" s="39"/>
      <c r="F265" s="39"/>
      <c r="G265" s="39"/>
      <c r="H265" s="39"/>
    </row>
    <row r="266">
      <c r="A266" s="37"/>
      <c r="B266" s="38"/>
      <c r="C266" s="39"/>
      <c r="D266" s="39"/>
      <c r="E266" s="39"/>
      <c r="F266" s="39"/>
      <c r="G266" s="39"/>
      <c r="H266" s="39"/>
    </row>
    <row r="267">
      <c r="A267" s="37"/>
      <c r="B267" s="38"/>
      <c r="C267" s="39"/>
      <c r="D267" s="39"/>
      <c r="E267" s="39"/>
      <c r="F267" s="39"/>
      <c r="G267" s="39"/>
      <c r="H267" s="39"/>
    </row>
    <row r="268">
      <c r="A268" s="37"/>
      <c r="B268" s="38"/>
      <c r="C268" s="39"/>
      <c r="D268" s="39"/>
      <c r="E268" s="39"/>
      <c r="F268" s="39"/>
      <c r="G268" s="39"/>
      <c r="H268" s="39"/>
    </row>
    <row r="269">
      <c r="A269" s="37"/>
      <c r="B269" s="38"/>
      <c r="C269" s="39"/>
      <c r="D269" s="39"/>
      <c r="E269" s="39"/>
      <c r="F269" s="39"/>
      <c r="G269" s="39"/>
      <c r="H269" s="39"/>
    </row>
    <row r="270">
      <c r="A270" s="37"/>
      <c r="B270" s="38"/>
      <c r="C270" s="39"/>
      <c r="D270" s="39"/>
      <c r="E270" s="39"/>
      <c r="F270" s="39"/>
      <c r="G270" s="39"/>
      <c r="H270" s="39"/>
    </row>
    <row r="271">
      <c r="A271" s="37"/>
      <c r="B271" s="38"/>
      <c r="C271" s="39"/>
      <c r="D271" s="39"/>
      <c r="E271" s="39"/>
      <c r="F271" s="39"/>
      <c r="G271" s="39"/>
      <c r="H271" s="39"/>
    </row>
    <row r="272">
      <c r="A272" s="37"/>
      <c r="B272" s="38"/>
      <c r="C272" s="39"/>
      <c r="D272" s="39"/>
      <c r="E272" s="39"/>
      <c r="F272" s="39"/>
      <c r="G272" s="39"/>
      <c r="H272" s="39"/>
    </row>
    <row r="273">
      <c r="A273" s="37"/>
      <c r="B273" s="38"/>
      <c r="C273" s="39"/>
      <c r="D273" s="39"/>
      <c r="E273" s="39"/>
      <c r="F273" s="39"/>
      <c r="G273" s="39"/>
      <c r="H273" s="39"/>
    </row>
    <row r="274">
      <c r="A274" s="37"/>
      <c r="B274" s="38"/>
      <c r="C274" s="39"/>
      <c r="D274" s="39"/>
      <c r="E274" s="39"/>
      <c r="F274" s="39"/>
      <c r="G274" s="39"/>
      <c r="H274" s="39"/>
    </row>
    <row r="275">
      <c r="A275" s="37"/>
      <c r="B275" s="38"/>
      <c r="C275" s="39"/>
      <c r="D275" s="39"/>
      <c r="E275" s="39"/>
      <c r="F275" s="39"/>
      <c r="G275" s="39"/>
      <c r="H275" s="39"/>
    </row>
    <row r="276">
      <c r="A276" s="37"/>
      <c r="B276" s="38"/>
      <c r="C276" s="39"/>
      <c r="D276" s="39"/>
      <c r="E276" s="39"/>
      <c r="F276" s="39"/>
      <c r="G276" s="39"/>
      <c r="H276" s="39"/>
    </row>
    <row r="277">
      <c r="A277" s="37"/>
      <c r="B277" s="38"/>
      <c r="C277" s="39"/>
      <c r="D277" s="39"/>
      <c r="E277" s="39"/>
      <c r="F277" s="39"/>
      <c r="G277" s="39"/>
      <c r="H277" s="39"/>
    </row>
    <row r="278">
      <c r="A278" s="37"/>
      <c r="B278" s="38"/>
      <c r="C278" s="39"/>
      <c r="D278" s="39"/>
      <c r="E278" s="39"/>
      <c r="F278" s="39"/>
      <c r="G278" s="39"/>
      <c r="H278" s="39"/>
    </row>
    <row r="279">
      <c r="A279" s="37"/>
      <c r="B279" s="38"/>
      <c r="C279" s="39"/>
      <c r="D279" s="39"/>
      <c r="E279" s="39"/>
      <c r="F279" s="39"/>
      <c r="G279" s="39"/>
      <c r="H279" s="39"/>
    </row>
    <row r="280">
      <c r="A280" s="37"/>
      <c r="B280" s="38"/>
      <c r="C280" s="39"/>
      <c r="D280" s="39"/>
      <c r="E280" s="39"/>
      <c r="F280" s="39"/>
      <c r="G280" s="39"/>
      <c r="H280" s="39"/>
    </row>
    <row r="281">
      <c r="A281" s="37"/>
      <c r="B281" s="38"/>
      <c r="C281" s="39"/>
      <c r="D281" s="39"/>
      <c r="E281" s="39"/>
      <c r="F281" s="39"/>
      <c r="G281" s="39"/>
      <c r="H281" s="39"/>
    </row>
    <row r="282">
      <c r="A282" s="37"/>
      <c r="B282" s="38"/>
      <c r="C282" s="39"/>
      <c r="D282" s="39"/>
      <c r="E282" s="39"/>
      <c r="F282" s="39"/>
      <c r="G282" s="39"/>
      <c r="H282" s="39"/>
    </row>
    <row r="283">
      <c r="A283" s="37"/>
      <c r="B283" s="38"/>
      <c r="C283" s="39"/>
      <c r="D283" s="39"/>
      <c r="E283" s="39"/>
      <c r="F283" s="39"/>
      <c r="G283" s="39"/>
      <c r="H283" s="39"/>
    </row>
    <row r="284">
      <c r="A284" s="37"/>
      <c r="B284" s="38"/>
      <c r="C284" s="39"/>
      <c r="D284" s="39"/>
      <c r="E284" s="39"/>
      <c r="F284" s="39"/>
      <c r="G284" s="39"/>
      <c r="H284" s="39"/>
    </row>
    <row r="285">
      <c r="A285" s="37"/>
      <c r="B285" s="38"/>
      <c r="C285" s="39"/>
      <c r="D285" s="39"/>
      <c r="E285" s="39"/>
      <c r="F285" s="39"/>
      <c r="G285" s="39"/>
      <c r="H285" s="39"/>
    </row>
    <row r="286">
      <c r="A286" s="37"/>
      <c r="B286" s="38"/>
      <c r="C286" s="39"/>
      <c r="D286" s="39"/>
      <c r="E286" s="39"/>
      <c r="F286" s="39"/>
      <c r="G286" s="39"/>
      <c r="H286" s="39"/>
    </row>
    <row r="287">
      <c r="A287" s="37"/>
      <c r="B287" s="38"/>
      <c r="C287" s="39"/>
      <c r="D287" s="39"/>
      <c r="E287" s="39"/>
      <c r="F287" s="39"/>
      <c r="G287" s="39"/>
      <c r="H287" s="39"/>
    </row>
    <row r="288">
      <c r="A288" s="37"/>
      <c r="B288" s="38"/>
      <c r="C288" s="39"/>
      <c r="D288" s="39"/>
      <c r="E288" s="39"/>
      <c r="F288" s="39"/>
      <c r="G288" s="39"/>
      <c r="H288" s="39"/>
    </row>
    <row r="289">
      <c r="A289" s="37"/>
      <c r="B289" s="38"/>
      <c r="C289" s="39"/>
      <c r="D289" s="39"/>
      <c r="E289" s="39"/>
      <c r="F289" s="39"/>
      <c r="G289" s="39"/>
      <c r="H289" s="39"/>
    </row>
    <row r="290">
      <c r="A290" s="37"/>
      <c r="B290" s="38"/>
      <c r="C290" s="39"/>
      <c r="D290" s="39"/>
      <c r="E290" s="39"/>
      <c r="F290" s="39"/>
      <c r="G290" s="39"/>
      <c r="H290" s="39"/>
    </row>
    <row r="291">
      <c r="A291" s="37"/>
      <c r="B291" s="38"/>
      <c r="C291" s="39"/>
      <c r="D291" s="39"/>
      <c r="E291" s="39"/>
      <c r="F291" s="39"/>
      <c r="G291" s="39"/>
      <c r="H291" s="39"/>
    </row>
    <row r="292">
      <c r="A292" s="37"/>
      <c r="B292" s="38"/>
      <c r="C292" s="39"/>
      <c r="D292" s="39"/>
      <c r="E292" s="39"/>
      <c r="F292" s="39"/>
      <c r="G292" s="39"/>
      <c r="H292" s="39"/>
    </row>
    <row r="293">
      <c r="A293" s="37"/>
      <c r="B293" s="38"/>
      <c r="C293" s="39"/>
      <c r="D293" s="39"/>
      <c r="E293" s="39"/>
      <c r="F293" s="39"/>
      <c r="G293" s="39"/>
      <c r="H293" s="39"/>
    </row>
    <row r="294">
      <c r="A294" s="37"/>
      <c r="B294" s="38"/>
      <c r="C294" s="39"/>
      <c r="D294" s="39"/>
      <c r="E294" s="39"/>
      <c r="F294" s="39"/>
      <c r="G294" s="39"/>
      <c r="H294" s="39"/>
    </row>
    <row r="295">
      <c r="A295" s="37"/>
      <c r="B295" s="38"/>
      <c r="C295" s="39"/>
      <c r="D295" s="39"/>
      <c r="E295" s="39"/>
      <c r="F295" s="39"/>
      <c r="G295" s="39"/>
      <c r="H295" s="39"/>
    </row>
    <row r="296">
      <c r="A296" s="37"/>
      <c r="B296" s="38"/>
      <c r="C296" s="39"/>
      <c r="D296" s="39"/>
      <c r="E296" s="39"/>
      <c r="F296" s="39"/>
      <c r="G296" s="39"/>
      <c r="H296" s="39"/>
    </row>
    <row r="297">
      <c r="A297" s="37"/>
      <c r="B297" s="38"/>
      <c r="C297" s="39"/>
      <c r="D297" s="39"/>
      <c r="E297" s="39"/>
      <c r="F297" s="39"/>
      <c r="G297" s="39"/>
      <c r="H297" s="39"/>
    </row>
    <row r="298">
      <c r="A298" s="37"/>
      <c r="B298" s="38"/>
      <c r="C298" s="39"/>
      <c r="D298" s="39"/>
      <c r="E298" s="39"/>
      <c r="F298" s="39"/>
      <c r="G298" s="39"/>
      <c r="H298" s="39"/>
    </row>
    <row r="299">
      <c r="A299" s="37"/>
      <c r="B299" s="38"/>
      <c r="C299" s="39"/>
      <c r="D299" s="39"/>
      <c r="E299" s="39"/>
      <c r="F299" s="39"/>
      <c r="G299" s="39"/>
      <c r="H299" s="39"/>
    </row>
    <row r="300">
      <c r="A300" s="37"/>
      <c r="B300" s="38"/>
      <c r="C300" s="39"/>
      <c r="D300" s="39"/>
      <c r="E300" s="39"/>
      <c r="F300" s="39"/>
      <c r="G300" s="39"/>
      <c r="H300" s="39"/>
    </row>
    <row r="301">
      <c r="A301" s="37"/>
      <c r="B301" s="38"/>
      <c r="C301" s="39"/>
      <c r="D301" s="39"/>
      <c r="E301" s="39"/>
      <c r="F301" s="39"/>
      <c r="G301" s="39"/>
      <c r="H301" s="39"/>
    </row>
    <row r="302">
      <c r="A302" s="37"/>
      <c r="B302" s="38"/>
      <c r="C302" s="39"/>
      <c r="D302" s="39"/>
      <c r="E302" s="39"/>
      <c r="F302" s="39"/>
      <c r="G302" s="39"/>
      <c r="H302" s="39"/>
    </row>
    <row r="303">
      <c r="A303" s="37"/>
      <c r="B303" s="38"/>
      <c r="C303" s="39"/>
      <c r="D303" s="39"/>
      <c r="E303" s="39"/>
      <c r="F303" s="39"/>
      <c r="G303" s="39"/>
      <c r="H303" s="39"/>
    </row>
    <row r="304">
      <c r="A304" s="37"/>
      <c r="B304" s="38"/>
      <c r="C304" s="39"/>
      <c r="D304" s="39"/>
      <c r="E304" s="39"/>
      <c r="F304" s="39"/>
      <c r="G304" s="39"/>
      <c r="H304" s="39"/>
    </row>
    <row r="305">
      <c r="A305" s="37"/>
      <c r="B305" s="38"/>
      <c r="C305" s="39"/>
      <c r="D305" s="39"/>
      <c r="E305" s="39"/>
      <c r="F305" s="39"/>
      <c r="G305" s="39"/>
      <c r="H305" s="39"/>
    </row>
    <row r="306">
      <c r="A306" s="37"/>
      <c r="B306" s="38"/>
      <c r="C306" s="39"/>
      <c r="D306" s="39"/>
      <c r="E306" s="39"/>
      <c r="F306" s="39"/>
      <c r="G306" s="39"/>
      <c r="H306" s="39"/>
    </row>
    <row r="307">
      <c r="A307" s="37"/>
      <c r="B307" s="38"/>
      <c r="C307" s="39"/>
      <c r="D307" s="39"/>
      <c r="E307" s="39"/>
      <c r="F307" s="39"/>
      <c r="G307" s="39"/>
      <c r="H307" s="39"/>
    </row>
    <row r="308">
      <c r="A308" s="37"/>
      <c r="B308" s="38"/>
      <c r="C308" s="39"/>
      <c r="D308" s="39"/>
      <c r="E308" s="39"/>
      <c r="F308" s="39"/>
      <c r="G308" s="39"/>
      <c r="H308" s="39"/>
    </row>
    <row r="309">
      <c r="A309" s="37"/>
      <c r="B309" s="38"/>
      <c r="C309" s="39"/>
      <c r="D309" s="39"/>
      <c r="E309" s="39"/>
      <c r="F309" s="39"/>
      <c r="G309" s="39"/>
      <c r="H309" s="39"/>
    </row>
    <row r="310">
      <c r="A310" s="37"/>
      <c r="B310" s="38"/>
      <c r="C310" s="39"/>
      <c r="D310" s="39"/>
      <c r="E310" s="39"/>
      <c r="F310" s="39"/>
      <c r="G310" s="39"/>
      <c r="H310" s="39"/>
    </row>
    <row r="311">
      <c r="A311" s="37"/>
      <c r="B311" s="38"/>
      <c r="C311" s="39"/>
      <c r="D311" s="39"/>
      <c r="E311" s="39"/>
      <c r="F311" s="39"/>
      <c r="G311" s="39"/>
      <c r="H311" s="39"/>
    </row>
    <row r="312">
      <c r="A312" s="37"/>
      <c r="B312" s="38"/>
      <c r="C312" s="39"/>
      <c r="D312" s="39"/>
      <c r="E312" s="39"/>
      <c r="F312" s="39"/>
      <c r="G312" s="39"/>
      <c r="H312" s="39"/>
    </row>
    <row r="313">
      <c r="A313" s="37"/>
      <c r="B313" s="38"/>
      <c r="C313" s="39"/>
      <c r="D313" s="39"/>
      <c r="E313" s="39"/>
      <c r="F313" s="39"/>
      <c r="G313" s="39"/>
      <c r="H313" s="39"/>
    </row>
    <row r="314">
      <c r="A314" s="37"/>
      <c r="B314" s="38"/>
      <c r="C314" s="39"/>
      <c r="D314" s="39"/>
      <c r="E314" s="39"/>
      <c r="F314" s="39"/>
      <c r="G314" s="39"/>
      <c r="H314" s="39"/>
    </row>
    <row r="315">
      <c r="A315" s="37"/>
      <c r="B315" s="38"/>
      <c r="C315" s="39"/>
      <c r="D315" s="39"/>
      <c r="E315" s="39"/>
      <c r="F315" s="39"/>
      <c r="G315" s="39"/>
      <c r="H315" s="39"/>
    </row>
    <row r="316">
      <c r="A316" s="37"/>
      <c r="B316" s="38"/>
      <c r="C316" s="39"/>
      <c r="D316" s="39"/>
      <c r="E316" s="39"/>
      <c r="F316" s="39"/>
      <c r="G316" s="39"/>
      <c r="H316" s="39"/>
    </row>
    <row r="317">
      <c r="A317" s="37"/>
      <c r="B317" s="38"/>
      <c r="C317" s="39"/>
      <c r="D317" s="39"/>
      <c r="E317" s="39"/>
      <c r="F317" s="39"/>
      <c r="G317" s="39"/>
      <c r="H317" s="39"/>
    </row>
    <row r="318">
      <c r="A318" s="37"/>
      <c r="B318" s="38"/>
      <c r="C318" s="39"/>
      <c r="D318" s="39"/>
      <c r="E318" s="39"/>
      <c r="F318" s="39"/>
      <c r="G318" s="39"/>
      <c r="H318" s="39"/>
    </row>
    <row r="319">
      <c r="A319" s="37"/>
      <c r="B319" s="38"/>
      <c r="C319" s="39"/>
      <c r="D319" s="39"/>
      <c r="E319" s="39"/>
      <c r="F319" s="39"/>
      <c r="G319" s="39"/>
      <c r="H319" s="39"/>
    </row>
    <row r="320">
      <c r="A320" s="37"/>
      <c r="B320" s="38"/>
      <c r="C320" s="39"/>
      <c r="D320" s="39"/>
      <c r="E320" s="39"/>
      <c r="F320" s="39"/>
      <c r="G320" s="39"/>
      <c r="H320" s="39"/>
    </row>
    <row r="321">
      <c r="A321" s="37"/>
      <c r="B321" s="38"/>
      <c r="C321" s="39"/>
      <c r="D321" s="39"/>
      <c r="E321" s="39"/>
      <c r="F321" s="39"/>
      <c r="G321" s="39"/>
      <c r="H321" s="39"/>
    </row>
    <row r="322">
      <c r="A322" s="37"/>
      <c r="B322" s="38"/>
      <c r="C322" s="39"/>
      <c r="D322" s="39"/>
      <c r="E322" s="39"/>
      <c r="F322" s="39"/>
      <c r="G322" s="39"/>
      <c r="H322" s="39"/>
    </row>
    <row r="323">
      <c r="A323" s="37"/>
      <c r="B323" s="38"/>
      <c r="C323" s="39"/>
      <c r="D323" s="39"/>
      <c r="E323" s="39"/>
      <c r="F323" s="39"/>
      <c r="G323" s="39"/>
      <c r="H323" s="39"/>
    </row>
    <row r="324">
      <c r="A324" s="37"/>
      <c r="B324" s="38"/>
      <c r="C324" s="39"/>
      <c r="D324" s="39"/>
      <c r="E324" s="39"/>
      <c r="F324" s="39"/>
      <c r="G324" s="39"/>
      <c r="H324" s="39"/>
    </row>
    <row r="325">
      <c r="A325" s="37"/>
      <c r="B325" s="38"/>
      <c r="C325" s="39"/>
      <c r="D325" s="39"/>
      <c r="E325" s="39"/>
      <c r="F325" s="39"/>
      <c r="G325" s="39"/>
      <c r="H325" s="39"/>
    </row>
    <row r="326">
      <c r="A326" s="37"/>
      <c r="B326" s="38"/>
      <c r="C326" s="39"/>
      <c r="D326" s="39"/>
      <c r="E326" s="39"/>
      <c r="F326" s="39"/>
      <c r="G326" s="39"/>
      <c r="H326" s="39"/>
    </row>
    <row r="327">
      <c r="A327" s="37"/>
      <c r="B327" s="38"/>
      <c r="C327" s="39"/>
      <c r="D327" s="39"/>
      <c r="E327" s="39"/>
      <c r="F327" s="39"/>
      <c r="G327" s="39"/>
      <c r="H327" s="39"/>
    </row>
    <row r="328">
      <c r="A328" s="37"/>
      <c r="B328" s="38"/>
      <c r="C328" s="39"/>
      <c r="D328" s="39"/>
      <c r="E328" s="39"/>
      <c r="F328" s="39"/>
      <c r="G328" s="39"/>
      <c r="H328" s="39"/>
    </row>
    <row r="329">
      <c r="A329" s="37"/>
      <c r="B329" s="38"/>
      <c r="C329" s="39"/>
      <c r="D329" s="39"/>
      <c r="E329" s="39"/>
      <c r="F329" s="39"/>
      <c r="G329" s="39"/>
      <c r="H329" s="39"/>
    </row>
    <row r="330">
      <c r="A330" s="37"/>
      <c r="B330" s="38"/>
      <c r="C330" s="39"/>
      <c r="D330" s="39"/>
      <c r="E330" s="39"/>
      <c r="F330" s="39"/>
      <c r="G330" s="39"/>
      <c r="H330" s="39"/>
    </row>
    <row r="331">
      <c r="A331" s="37"/>
      <c r="B331" s="38"/>
      <c r="C331" s="39"/>
      <c r="D331" s="39"/>
      <c r="E331" s="39"/>
      <c r="F331" s="39"/>
      <c r="G331" s="39"/>
      <c r="H331" s="39"/>
    </row>
    <row r="332">
      <c r="A332" s="37"/>
      <c r="B332" s="38"/>
      <c r="C332" s="39"/>
      <c r="D332" s="39"/>
      <c r="E332" s="39"/>
      <c r="F332" s="39"/>
      <c r="G332" s="39"/>
      <c r="H332" s="39"/>
    </row>
    <row r="333">
      <c r="A333" s="37"/>
      <c r="B333" s="38"/>
      <c r="C333" s="39"/>
      <c r="D333" s="39"/>
      <c r="E333" s="39"/>
      <c r="F333" s="39"/>
      <c r="G333" s="39"/>
      <c r="H333" s="39"/>
    </row>
    <row r="334">
      <c r="A334" s="37"/>
      <c r="B334" s="38"/>
      <c r="C334" s="39"/>
      <c r="D334" s="39"/>
      <c r="E334" s="39"/>
      <c r="F334" s="39"/>
      <c r="G334" s="39"/>
      <c r="H334" s="39"/>
    </row>
    <row r="335">
      <c r="A335" s="37"/>
      <c r="B335" s="38"/>
      <c r="C335" s="39"/>
      <c r="D335" s="39"/>
      <c r="E335" s="39"/>
      <c r="F335" s="39"/>
      <c r="G335" s="39"/>
      <c r="H335" s="39"/>
    </row>
    <row r="336">
      <c r="A336" s="37"/>
      <c r="B336" s="38"/>
      <c r="C336" s="39"/>
      <c r="D336" s="39"/>
      <c r="E336" s="39"/>
      <c r="F336" s="39"/>
      <c r="G336" s="39"/>
      <c r="H336" s="39"/>
    </row>
    <row r="337">
      <c r="A337" s="37"/>
      <c r="B337" s="38"/>
      <c r="C337" s="39"/>
      <c r="D337" s="39"/>
      <c r="E337" s="39"/>
      <c r="F337" s="39"/>
      <c r="G337" s="39"/>
      <c r="H337" s="39"/>
    </row>
    <row r="338">
      <c r="A338" s="37"/>
      <c r="B338" s="38"/>
      <c r="C338" s="39"/>
      <c r="D338" s="39"/>
      <c r="E338" s="39"/>
      <c r="F338" s="39"/>
      <c r="G338" s="39"/>
      <c r="H338" s="39"/>
    </row>
    <row r="339">
      <c r="A339" s="37"/>
      <c r="B339" s="38"/>
      <c r="C339" s="39"/>
      <c r="D339" s="39"/>
      <c r="E339" s="39"/>
      <c r="F339" s="39"/>
      <c r="G339" s="39"/>
      <c r="H339" s="39"/>
    </row>
    <row r="340">
      <c r="A340" s="37"/>
      <c r="B340" s="38"/>
      <c r="C340" s="39"/>
      <c r="D340" s="39"/>
      <c r="E340" s="39"/>
      <c r="F340" s="39"/>
      <c r="G340" s="39"/>
      <c r="H340" s="39"/>
    </row>
    <row r="341">
      <c r="A341" s="37"/>
      <c r="B341" s="38"/>
      <c r="C341" s="39"/>
      <c r="D341" s="39"/>
      <c r="E341" s="39"/>
      <c r="F341" s="39"/>
      <c r="G341" s="39"/>
      <c r="H341" s="39"/>
    </row>
    <row r="342">
      <c r="A342" s="37"/>
      <c r="B342" s="38"/>
      <c r="C342" s="39"/>
      <c r="D342" s="39"/>
      <c r="E342" s="39"/>
      <c r="F342" s="39"/>
      <c r="G342" s="39"/>
      <c r="H342" s="39"/>
    </row>
    <row r="343">
      <c r="A343" s="37"/>
      <c r="B343" s="38"/>
      <c r="C343" s="39"/>
      <c r="D343" s="39"/>
      <c r="E343" s="39"/>
      <c r="F343" s="39"/>
      <c r="G343" s="39"/>
      <c r="H343" s="39"/>
    </row>
    <row r="344">
      <c r="A344" s="37"/>
      <c r="B344" s="38"/>
      <c r="C344" s="39"/>
      <c r="D344" s="39"/>
      <c r="E344" s="39"/>
      <c r="F344" s="39"/>
      <c r="G344" s="39"/>
      <c r="H344" s="39"/>
    </row>
    <row r="345">
      <c r="A345" s="37"/>
      <c r="B345" s="38"/>
      <c r="C345" s="39"/>
      <c r="D345" s="39"/>
      <c r="E345" s="39"/>
      <c r="F345" s="39"/>
      <c r="G345" s="39"/>
      <c r="H345" s="39"/>
    </row>
    <row r="346">
      <c r="A346" s="37"/>
      <c r="B346" s="38"/>
      <c r="C346" s="39"/>
      <c r="D346" s="39"/>
      <c r="E346" s="39"/>
      <c r="F346" s="39"/>
      <c r="G346" s="39"/>
      <c r="H346" s="39"/>
    </row>
    <row r="347">
      <c r="A347" s="37"/>
      <c r="B347" s="38"/>
      <c r="C347" s="39"/>
      <c r="D347" s="39"/>
      <c r="E347" s="39"/>
      <c r="F347" s="39"/>
      <c r="G347" s="39"/>
      <c r="H347" s="39"/>
    </row>
    <row r="348">
      <c r="A348" s="37"/>
      <c r="B348" s="38"/>
      <c r="C348" s="39"/>
      <c r="D348" s="39"/>
      <c r="E348" s="39"/>
      <c r="F348" s="39"/>
      <c r="G348" s="39"/>
      <c r="H348" s="39"/>
    </row>
    <row r="349">
      <c r="A349" s="37"/>
      <c r="B349" s="38"/>
      <c r="C349" s="39"/>
      <c r="D349" s="39"/>
      <c r="E349" s="39"/>
      <c r="F349" s="39"/>
      <c r="G349" s="39"/>
      <c r="H349" s="39"/>
    </row>
    <row r="350">
      <c r="A350" s="37"/>
      <c r="B350" s="38"/>
      <c r="C350" s="39"/>
      <c r="D350" s="39"/>
      <c r="E350" s="39"/>
      <c r="F350" s="39"/>
      <c r="G350" s="39"/>
      <c r="H350" s="39"/>
    </row>
    <row r="351">
      <c r="A351" s="37"/>
      <c r="B351" s="38"/>
      <c r="C351" s="39"/>
      <c r="D351" s="39"/>
      <c r="E351" s="39"/>
      <c r="F351" s="39"/>
      <c r="G351" s="39"/>
      <c r="H351" s="39"/>
    </row>
    <row r="352">
      <c r="A352" s="37"/>
      <c r="B352" s="38"/>
      <c r="C352" s="39"/>
      <c r="D352" s="39"/>
      <c r="E352" s="39"/>
      <c r="F352" s="39"/>
      <c r="G352" s="39"/>
      <c r="H352" s="39"/>
    </row>
    <row r="353">
      <c r="A353" s="37"/>
      <c r="B353" s="38"/>
      <c r="C353" s="39"/>
      <c r="D353" s="39"/>
      <c r="E353" s="39"/>
      <c r="F353" s="39"/>
      <c r="G353" s="39"/>
      <c r="H353" s="39"/>
    </row>
    <row r="354">
      <c r="A354" s="37"/>
      <c r="B354" s="38"/>
      <c r="C354" s="39"/>
      <c r="D354" s="39"/>
      <c r="E354" s="39"/>
      <c r="F354" s="39"/>
      <c r="G354" s="39"/>
      <c r="H354" s="39"/>
    </row>
    <row r="355">
      <c r="A355" s="37"/>
      <c r="B355" s="38"/>
      <c r="C355" s="39"/>
      <c r="D355" s="39"/>
      <c r="E355" s="39"/>
      <c r="F355" s="39"/>
      <c r="G355" s="39"/>
      <c r="H355" s="39"/>
    </row>
    <row r="356">
      <c r="A356" s="37"/>
      <c r="B356" s="38"/>
      <c r="C356" s="39"/>
      <c r="D356" s="39"/>
      <c r="E356" s="39"/>
      <c r="F356" s="39"/>
      <c r="G356" s="39"/>
      <c r="H356" s="39"/>
    </row>
    <row r="357">
      <c r="A357" s="37"/>
      <c r="B357" s="38"/>
      <c r="C357" s="39"/>
      <c r="D357" s="39"/>
      <c r="E357" s="39"/>
      <c r="F357" s="39"/>
      <c r="G357" s="39"/>
      <c r="H357" s="39"/>
    </row>
    <row r="358">
      <c r="A358" s="37"/>
      <c r="B358" s="38"/>
      <c r="C358" s="39"/>
      <c r="D358" s="39"/>
      <c r="E358" s="39"/>
      <c r="F358" s="39"/>
      <c r="G358" s="39"/>
      <c r="H358" s="39"/>
    </row>
    <row r="359">
      <c r="A359" s="37"/>
      <c r="B359" s="38"/>
      <c r="C359" s="39"/>
      <c r="D359" s="39"/>
      <c r="E359" s="39"/>
      <c r="F359" s="39"/>
      <c r="G359" s="39"/>
      <c r="H359" s="39"/>
    </row>
    <row r="360">
      <c r="A360" s="37"/>
      <c r="B360" s="38"/>
      <c r="C360" s="39"/>
      <c r="D360" s="39"/>
      <c r="E360" s="39"/>
      <c r="F360" s="39"/>
      <c r="G360" s="39"/>
      <c r="H360" s="39"/>
    </row>
    <row r="361">
      <c r="A361" s="37"/>
      <c r="B361" s="38"/>
      <c r="C361" s="39"/>
      <c r="D361" s="39"/>
      <c r="E361" s="39"/>
      <c r="F361" s="39"/>
      <c r="G361" s="39"/>
      <c r="H361" s="39"/>
    </row>
    <row r="362">
      <c r="A362" s="37"/>
      <c r="B362" s="38"/>
      <c r="C362" s="39"/>
      <c r="D362" s="39"/>
      <c r="E362" s="39"/>
      <c r="F362" s="39"/>
      <c r="G362" s="39"/>
      <c r="H362" s="39"/>
    </row>
    <row r="363">
      <c r="A363" s="37"/>
      <c r="B363" s="38"/>
      <c r="C363" s="39"/>
      <c r="D363" s="39"/>
      <c r="E363" s="39"/>
      <c r="F363" s="39"/>
      <c r="G363" s="39"/>
      <c r="H363" s="39"/>
    </row>
    <row r="364">
      <c r="A364" s="37"/>
      <c r="B364" s="38"/>
      <c r="C364" s="39"/>
      <c r="D364" s="39"/>
      <c r="E364" s="39"/>
      <c r="F364" s="39"/>
      <c r="G364" s="39"/>
      <c r="H364" s="39"/>
    </row>
    <row r="365">
      <c r="A365" s="37"/>
      <c r="B365" s="38"/>
      <c r="C365" s="39"/>
      <c r="D365" s="39"/>
      <c r="E365" s="39"/>
      <c r="F365" s="39"/>
      <c r="G365" s="39"/>
      <c r="H365" s="39"/>
    </row>
    <row r="366">
      <c r="A366" s="37"/>
      <c r="B366" s="38"/>
      <c r="C366" s="39"/>
      <c r="D366" s="39"/>
      <c r="E366" s="39"/>
      <c r="F366" s="39"/>
      <c r="G366" s="39"/>
      <c r="H366" s="39"/>
    </row>
    <row r="367">
      <c r="A367" s="37"/>
      <c r="B367" s="38"/>
      <c r="C367" s="39"/>
      <c r="D367" s="39"/>
      <c r="E367" s="39"/>
      <c r="F367" s="39"/>
      <c r="G367" s="39"/>
      <c r="H367" s="39"/>
    </row>
    <row r="368">
      <c r="A368" s="37"/>
      <c r="B368" s="38"/>
      <c r="C368" s="39"/>
      <c r="D368" s="39"/>
      <c r="E368" s="39"/>
      <c r="F368" s="39"/>
      <c r="G368" s="39"/>
      <c r="H368" s="39"/>
    </row>
    <row r="369">
      <c r="A369" s="37"/>
      <c r="B369" s="38"/>
      <c r="C369" s="39"/>
      <c r="D369" s="39"/>
      <c r="E369" s="39"/>
      <c r="F369" s="39"/>
      <c r="G369" s="39"/>
      <c r="H369" s="39"/>
    </row>
    <row r="370">
      <c r="A370" s="37"/>
      <c r="B370" s="38"/>
      <c r="C370" s="39"/>
      <c r="D370" s="39"/>
      <c r="E370" s="39"/>
      <c r="F370" s="39"/>
      <c r="G370" s="39"/>
      <c r="H370" s="39"/>
    </row>
    <row r="371">
      <c r="A371" s="37"/>
      <c r="B371" s="38"/>
      <c r="C371" s="39"/>
      <c r="D371" s="39"/>
      <c r="E371" s="39"/>
      <c r="F371" s="39"/>
      <c r="G371" s="39"/>
      <c r="H371" s="39"/>
    </row>
    <row r="372">
      <c r="A372" s="37"/>
      <c r="B372" s="38"/>
      <c r="C372" s="39"/>
      <c r="D372" s="39"/>
      <c r="E372" s="39"/>
      <c r="F372" s="39"/>
      <c r="G372" s="39"/>
      <c r="H372" s="39"/>
    </row>
    <row r="373">
      <c r="A373" s="37"/>
      <c r="B373" s="38"/>
      <c r="C373" s="39"/>
      <c r="D373" s="39"/>
      <c r="E373" s="39"/>
      <c r="F373" s="39"/>
      <c r="G373" s="39"/>
      <c r="H373" s="39"/>
    </row>
    <row r="374">
      <c r="A374" s="37"/>
      <c r="B374" s="38"/>
      <c r="C374" s="39"/>
      <c r="D374" s="39"/>
      <c r="E374" s="39"/>
      <c r="F374" s="39"/>
      <c r="G374" s="39"/>
      <c r="H374" s="39"/>
    </row>
    <row r="375">
      <c r="A375" s="37"/>
      <c r="B375" s="38"/>
      <c r="C375" s="39"/>
      <c r="D375" s="39"/>
      <c r="E375" s="39"/>
      <c r="F375" s="39"/>
      <c r="G375" s="39"/>
      <c r="H375" s="39"/>
    </row>
    <row r="376">
      <c r="A376" s="37"/>
      <c r="B376" s="38"/>
      <c r="C376" s="39"/>
      <c r="D376" s="39"/>
      <c r="E376" s="39"/>
      <c r="F376" s="39"/>
      <c r="G376" s="39"/>
      <c r="H376" s="39"/>
    </row>
    <row r="377">
      <c r="A377" s="37"/>
      <c r="B377" s="38"/>
      <c r="C377" s="39"/>
      <c r="D377" s="39"/>
      <c r="E377" s="39"/>
      <c r="F377" s="39"/>
      <c r="G377" s="39"/>
      <c r="H377" s="39"/>
    </row>
    <row r="378">
      <c r="A378" s="37"/>
      <c r="B378" s="38"/>
      <c r="C378" s="39"/>
      <c r="D378" s="39"/>
      <c r="E378" s="39"/>
      <c r="F378" s="39"/>
      <c r="G378" s="39"/>
      <c r="H378" s="39"/>
    </row>
    <row r="379">
      <c r="A379" s="37"/>
      <c r="B379" s="38"/>
      <c r="C379" s="39"/>
      <c r="D379" s="39"/>
      <c r="E379" s="39"/>
      <c r="F379" s="39"/>
      <c r="G379" s="39"/>
      <c r="H379" s="39"/>
    </row>
    <row r="380">
      <c r="A380" s="37"/>
      <c r="B380" s="38"/>
      <c r="C380" s="39"/>
      <c r="D380" s="39"/>
      <c r="E380" s="39"/>
      <c r="F380" s="39"/>
      <c r="G380" s="39"/>
      <c r="H380" s="39"/>
    </row>
    <row r="381">
      <c r="A381" s="37"/>
      <c r="B381" s="38"/>
      <c r="C381" s="39"/>
      <c r="D381" s="39"/>
      <c r="E381" s="39"/>
      <c r="F381" s="39"/>
      <c r="G381" s="39"/>
      <c r="H381" s="39"/>
    </row>
    <row r="382">
      <c r="A382" s="37"/>
      <c r="B382" s="38"/>
      <c r="C382" s="39"/>
      <c r="D382" s="39"/>
      <c r="E382" s="39"/>
      <c r="F382" s="39"/>
      <c r="G382" s="39"/>
      <c r="H382" s="39"/>
    </row>
    <row r="383">
      <c r="A383" s="37"/>
      <c r="B383" s="38"/>
      <c r="C383" s="39"/>
      <c r="D383" s="39"/>
      <c r="E383" s="39"/>
      <c r="F383" s="39"/>
      <c r="G383" s="39"/>
      <c r="H383" s="39"/>
    </row>
    <row r="384">
      <c r="A384" s="37"/>
      <c r="B384" s="38"/>
      <c r="C384" s="39"/>
      <c r="D384" s="39"/>
      <c r="E384" s="39"/>
      <c r="F384" s="39"/>
      <c r="G384" s="39"/>
      <c r="H384" s="39"/>
    </row>
    <row r="385">
      <c r="A385" s="37"/>
      <c r="B385" s="38"/>
      <c r="C385" s="39"/>
      <c r="D385" s="39"/>
      <c r="E385" s="39"/>
      <c r="F385" s="39"/>
      <c r="G385" s="39"/>
      <c r="H385" s="39"/>
    </row>
    <row r="386">
      <c r="A386" s="37"/>
      <c r="B386" s="38"/>
      <c r="C386" s="39"/>
      <c r="D386" s="39"/>
      <c r="E386" s="39"/>
      <c r="F386" s="39"/>
      <c r="G386" s="39"/>
      <c r="H386" s="39"/>
    </row>
    <row r="387">
      <c r="A387" s="37"/>
      <c r="B387" s="38"/>
      <c r="C387" s="39"/>
      <c r="D387" s="39"/>
      <c r="E387" s="39"/>
      <c r="F387" s="39"/>
      <c r="G387" s="39"/>
      <c r="H387" s="39"/>
    </row>
    <row r="388">
      <c r="A388" s="37"/>
      <c r="B388" s="38"/>
      <c r="C388" s="39"/>
      <c r="D388" s="39"/>
      <c r="E388" s="39"/>
      <c r="F388" s="39"/>
      <c r="G388" s="39"/>
      <c r="H388" s="39"/>
    </row>
    <row r="389">
      <c r="A389" s="37"/>
      <c r="B389" s="38"/>
      <c r="C389" s="39"/>
      <c r="D389" s="39"/>
      <c r="E389" s="39"/>
      <c r="F389" s="39"/>
      <c r="G389" s="39"/>
      <c r="H389" s="39"/>
    </row>
    <row r="390">
      <c r="A390" s="37"/>
      <c r="B390" s="38"/>
      <c r="C390" s="39"/>
      <c r="D390" s="39"/>
      <c r="E390" s="39"/>
      <c r="F390" s="39"/>
      <c r="G390" s="39"/>
      <c r="H390" s="39"/>
    </row>
    <row r="391">
      <c r="A391" s="37"/>
      <c r="B391" s="38"/>
      <c r="C391" s="39"/>
      <c r="D391" s="39"/>
      <c r="E391" s="39"/>
      <c r="F391" s="39"/>
      <c r="G391" s="39"/>
      <c r="H391" s="39"/>
    </row>
    <row r="392">
      <c r="A392" s="37"/>
      <c r="B392" s="38"/>
      <c r="C392" s="39"/>
      <c r="D392" s="39"/>
      <c r="E392" s="39"/>
      <c r="F392" s="39"/>
      <c r="G392" s="39"/>
      <c r="H392" s="39"/>
    </row>
    <row r="393">
      <c r="A393" s="37"/>
      <c r="B393" s="38"/>
      <c r="C393" s="39"/>
      <c r="D393" s="39"/>
      <c r="E393" s="39"/>
      <c r="F393" s="39"/>
      <c r="G393" s="39"/>
      <c r="H393" s="39"/>
    </row>
    <row r="394">
      <c r="A394" s="37"/>
      <c r="B394" s="38"/>
      <c r="C394" s="39"/>
      <c r="D394" s="39"/>
      <c r="E394" s="39"/>
      <c r="F394" s="39"/>
      <c r="G394" s="39"/>
      <c r="H394" s="39"/>
    </row>
    <row r="395">
      <c r="A395" s="37"/>
      <c r="B395" s="38"/>
      <c r="C395" s="39"/>
      <c r="D395" s="39"/>
      <c r="E395" s="39"/>
      <c r="F395" s="39"/>
      <c r="G395" s="39"/>
      <c r="H395" s="39"/>
    </row>
    <row r="396">
      <c r="A396" s="37"/>
      <c r="B396" s="38"/>
      <c r="C396" s="39"/>
      <c r="D396" s="39"/>
      <c r="E396" s="39"/>
      <c r="F396" s="39"/>
      <c r="G396" s="39"/>
      <c r="H396" s="39"/>
    </row>
    <row r="397">
      <c r="A397" s="37"/>
      <c r="B397" s="38"/>
      <c r="C397" s="39"/>
      <c r="D397" s="39"/>
      <c r="E397" s="39"/>
      <c r="F397" s="39"/>
      <c r="G397" s="39"/>
      <c r="H397" s="39"/>
    </row>
    <row r="398">
      <c r="A398" s="37"/>
      <c r="B398" s="38"/>
      <c r="C398" s="39"/>
      <c r="D398" s="39"/>
      <c r="E398" s="39"/>
      <c r="F398" s="39"/>
      <c r="G398" s="39"/>
      <c r="H398" s="39"/>
    </row>
    <row r="399">
      <c r="A399" s="37"/>
      <c r="B399" s="38"/>
      <c r="C399" s="39"/>
      <c r="D399" s="39"/>
      <c r="E399" s="39"/>
      <c r="F399" s="39"/>
      <c r="G399" s="39"/>
      <c r="H399" s="39"/>
    </row>
    <row r="400">
      <c r="A400" s="37"/>
      <c r="B400" s="38"/>
      <c r="C400" s="39"/>
      <c r="D400" s="39"/>
      <c r="E400" s="39"/>
      <c r="F400" s="39"/>
      <c r="G400" s="39"/>
      <c r="H400" s="39"/>
    </row>
    <row r="401">
      <c r="A401" s="37"/>
      <c r="B401" s="38"/>
      <c r="C401" s="39"/>
      <c r="D401" s="39"/>
      <c r="E401" s="39"/>
      <c r="F401" s="39"/>
      <c r="G401" s="39"/>
      <c r="H401" s="39"/>
    </row>
    <row r="402">
      <c r="A402" s="37"/>
      <c r="B402" s="38"/>
      <c r="C402" s="39"/>
      <c r="D402" s="39"/>
      <c r="E402" s="39"/>
      <c r="F402" s="39"/>
      <c r="G402" s="39"/>
      <c r="H402" s="39"/>
    </row>
    <row r="403">
      <c r="A403" s="37"/>
      <c r="B403" s="38"/>
      <c r="C403" s="39"/>
      <c r="D403" s="39"/>
      <c r="E403" s="39"/>
      <c r="F403" s="39"/>
      <c r="G403" s="39"/>
      <c r="H403" s="39"/>
    </row>
    <row r="404">
      <c r="A404" s="37"/>
      <c r="B404" s="38"/>
      <c r="C404" s="39"/>
      <c r="D404" s="39"/>
      <c r="E404" s="39"/>
      <c r="F404" s="39"/>
      <c r="G404" s="39"/>
      <c r="H404" s="39"/>
    </row>
    <row r="405">
      <c r="A405" s="37"/>
      <c r="B405" s="38"/>
      <c r="C405" s="39"/>
      <c r="D405" s="39"/>
      <c r="E405" s="39"/>
      <c r="F405" s="39"/>
      <c r="G405" s="39"/>
      <c r="H405" s="39"/>
    </row>
    <row r="406">
      <c r="A406" s="37"/>
      <c r="B406" s="38"/>
      <c r="C406" s="39"/>
      <c r="D406" s="39"/>
      <c r="E406" s="39"/>
      <c r="F406" s="39"/>
      <c r="G406" s="39"/>
      <c r="H406" s="39"/>
    </row>
    <row r="407">
      <c r="A407" s="37"/>
      <c r="B407" s="38"/>
      <c r="C407" s="39"/>
      <c r="D407" s="39"/>
      <c r="E407" s="39"/>
      <c r="F407" s="39"/>
      <c r="G407" s="39"/>
      <c r="H407" s="39"/>
    </row>
    <row r="408">
      <c r="A408" s="37"/>
      <c r="B408" s="38"/>
      <c r="C408" s="39"/>
      <c r="D408" s="39"/>
      <c r="E408" s="39"/>
      <c r="F408" s="39"/>
      <c r="G408" s="39"/>
      <c r="H408" s="39"/>
    </row>
    <row r="409">
      <c r="A409" s="37"/>
      <c r="B409" s="38"/>
      <c r="C409" s="39"/>
      <c r="D409" s="39"/>
      <c r="E409" s="39"/>
      <c r="F409" s="39"/>
      <c r="G409" s="39"/>
      <c r="H409" s="39"/>
    </row>
    <row r="410">
      <c r="A410" s="37"/>
      <c r="B410" s="38"/>
      <c r="C410" s="39"/>
      <c r="D410" s="39"/>
      <c r="E410" s="39"/>
      <c r="F410" s="39"/>
      <c r="G410" s="39"/>
      <c r="H410" s="39"/>
    </row>
    <row r="411">
      <c r="A411" s="37"/>
      <c r="B411" s="38"/>
      <c r="C411" s="39"/>
      <c r="D411" s="39"/>
      <c r="E411" s="39"/>
      <c r="F411" s="39"/>
      <c r="G411" s="39"/>
      <c r="H411" s="39"/>
    </row>
    <row r="412">
      <c r="A412" s="37"/>
      <c r="B412" s="38"/>
      <c r="C412" s="39"/>
      <c r="D412" s="39"/>
      <c r="E412" s="39"/>
      <c r="F412" s="39"/>
      <c r="G412" s="39"/>
      <c r="H412" s="39"/>
    </row>
    <row r="413">
      <c r="A413" s="37"/>
      <c r="B413" s="38"/>
      <c r="C413" s="39"/>
      <c r="D413" s="39"/>
      <c r="E413" s="39"/>
      <c r="F413" s="39"/>
      <c r="G413" s="39"/>
      <c r="H413" s="39"/>
    </row>
    <row r="414">
      <c r="A414" s="37"/>
      <c r="B414" s="38"/>
      <c r="C414" s="39"/>
      <c r="D414" s="39"/>
      <c r="E414" s="39"/>
      <c r="F414" s="39"/>
      <c r="G414" s="39"/>
      <c r="H414" s="39"/>
    </row>
    <row r="415">
      <c r="A415" s="37"/>
      <c r="B415" s="38"/>
      <c r="C415" s="39"/>
      <c r="D415" s="39"/>
      <c r="E415" s="39"/>
      <c r="F415" s="39"/>
      <c r="G415" s="39"/>
      <c r="H415" s="39"/>
    </row>
    <row r="416">
      <c r="A416" s="37"/>
      <c r="B416" s="38"/>
      <c r="C416" s="39"/>
      <c r="D416" s="39"/>
      <c r="E416" s="39"/>
      <c r="F416" s="39"/>
      <c r="G416" s="39"/>
      <c r="H416" s="39"/>
    </row>
    <row r="417">
      <c r="A417" s="37"/>
      <c r="B417" s="38"/>
      <c r="C417" s="39"/>
      <c r="D417" s="39"/>
      <c r="E417" s="39"/>
      <c r="F417" s="39"/>
      <c r="G417" s="39"/>
      <c r="H417" s="39"/>
    </row>
    <row r="418">
      <c r="A418" s="37"/>
      <c r="B418" s="38"/>
      <c r="C418" s="39"/>
      <c r="D418" s="39"/>
      <c r="E418" s="39"/>
      <c r="F418" s="39"/>
      <c r="G418" s="39"/>
      <c r="H418" s="39"/>
    </row>
    <row r="419">
      <c r="A419" s="37"/>
      <c r="B419" s="38"/>
      <c r="C419" s="39"/>
      <c r="D419" s="39"/>
      <c r="E419" s="39"/>
      <c r="F419" s="39"/>
      <c r="G419" s="39"/>
      <c r="H419" s="39"/>
    </row>
    <row r="420">
      <c r="A420" s="37"/>
      <c r="B420" s="38"/>
      <c r="C420" s="39"/>
      <c r="D420" s="39"/>
      <c r="E420" s="39"/>
      <c r="F420" s="39"/>
      <c r="G420" s="39"/>
      <c r="H420" s="39"/>
    </row>
    <row r="421">
      <c r="A421" s="37"/>
      <c r="B421" s="38"/>
      <c r="C421" s="39"/>
      <c r="D421" s="39"/>
      <c r="E421" s="39"/>
      <c r="F421" s="39"/>
      <c r="G421" s="39"/>
      <c r="H421" s="39"/>
    </row>
    <row r="422">
      <c r="A422" s="37"/>
      <c r="B422" s="38"/>
      <c r="C422" s="39"/>
      <c r="D422" s="39"/>
      <c r="E422" s="39"/>
      <c r="F422" s="39"/>
      <c r="G422" s="39"/>
      <c r="H422" s="39"/>
    </row>
    <row r="423">
      <c r="A423" s="37"/>
      <c r="B423" s="38"/>
      <c r="C423" s="39"/>
      <c r="D423" s="39"/>
      <c r="E423" s="39"/>
      <c r="F423" s="39"/>
      <c r="G423" s="39"/>
      <c r="H423" s="39"/>
    </row>
    <row r="424">
      <c r="A424" s="37"/>
      <c r="B424" s="38"/>
      <c r="C424" s="39"/>
      <c r="D424" s="39"/>
      <c r="E424" s="39"/>
      <c r="F424" s="39"/>
      <c r="G424" s="39"/>
      <c r="H424" s="39"/>
    </row>
    <row r="425">
      <c r="A425" s="37"/>
      <c r="B425" s="38"/>
      <c r="C425" s="39"/>
      <c r="D425" s="39"/>
      <c r="E425" s="39"/>
      <c r="F425" s="39"/>
      <c r="G425" s="39"/>
      <c r="H425" s="39"/>
    </row>
    <row r="426">
      <c r="A426" s="37"/>
      <c r="B426" s="38"/>
      <c r="C426" s="39"/>
      <c r="D426" s="39"/>
      <c r="E426" s="39"/>
      <c r="F426" s="39"/>
      <c r="G426" s="39"/>
      <c r="H426" s="39"/>
    </row>
    <row r="427">
      <c r="A427" s="37"/>
      <c r="B427" s="38"/>
      <c r="C427" s="39"/>
      <c r="D427" s="39"/>
      <c r="E427" s="39"/>
      <c r="F427" s="39"/>
      <c r="G427" s="39"/>
      <c r="H427" s="39"/>
    </row>
    <row r="428">
      <c r="A428" s="37"/>
      <c r="B428" s="38"/>
      <c r="C428" s="39"/>
      <c r="D428" s="39"/>
      <c r="E428" s="39"/>
      <c r="F428" s="39"/>
      <c r="G428" s="39"/>
      <c r="H428" s="39"/>
    </row>
    <row r="429">
      <c r="A429" s="37"/>
      <c r="B429" s="38"/>
      <c r="C429" s="39"/>
      <c r="D429" s="39"/>
      <c r="E429" s="39"/>
      <c r="F429" s="39"/>
      <c r="G429" s="39"/>
      <c r="H429" s="39"/>
    </row>
    <row r="430">
      <c r="A430" s="37"/>
      <c r="B430" s="38"/>
      <c r="C430" s="39"/>
      <c r="D430" s="39"/>
      <c r="E430" s="39"/>
      <c r="F430" s="39"/>
      <c r="G430" s="39"/>
      <c r="H430" s="39"/>
    </row>
    <row r="431">
      <c r="A431" s="37"/>
      <c r="B431" s="38"/>
      <c r="C431" s="39"/>
      <c r="D431" s="39"/>
      <c r="E431" s="39"/>
      <c r="F431" s="39"/>
      <c r="G431" s="39"/>
      <c r="H431" s="39"/>
    </row>
    <row r="432">
      <c r="A432" s="37"/>
      <c r="B432" s="38"/>
      <c r="C432" s="39"/>
      <c r="D432" s="39"/>
      <c r="E432" s="39"/>
      <c r="F432" s="39"/>
      <c r="G432" s="39"/>
      <c r="H432" s="39"/>
    </row>
    <row r="433">
      <c r="A433" s="37"/>
      <c r="B433" s="38"/>
      <c r="C433" s="39"/>
      <c r="D433" s="39"/>
      <c r="E433" s="39"/>
      <c r="F433" s="39"/>
      <c r="G433" s="39"/>
      <c r="H433" s="39"/>
    </row>
    <row r="434">
      <c r="A434" s="37"/>
      <c r="B434" s="38"/>
      <c r="C434" s="39"/>
      <c r="D434" s="39"/>
      <c r="E434" s="39"/>
      <c r="F434" s="39"/>
      <c r="G434" s="39"/>
      <c r="H434" s="39"/>
    </row>
    <row r="435">
      <c r="A435" s="37"/>
      <c r="B435" s="38"/>
      <c r="C435" s="39"/>
      <c r="D435" s="39"/>
      <c r="E435" s="39"/>
      <c r="F435" s="39"/>
      <c r="G435" s="39"/>
      <c r="H435" s="39"/>
    </row>
    <row r="436">
      <c r="A436" s="37"/>
      <c r="B436" s="38"/>
      <c r="C436" s="39"/>
      <c r="D436" s="39"/>
      <c r="E436" s="39"/>
      <c r="F436" s="39"/>
      <c r="G436" s="39"/>
      <c r="H436" s="39"/>
    </row>
    <row r="437">
      <c r="A437" s="37"/>
      <c r="B437" s="38"/>
      <c r="C437" s="39"/>
      <c r="D437" s="39"/>
      <c r="E437" s="39"/>
      <c r="F437" s="39"/>
      <c r="G437" s="39"/>
      <c r="H437" s="39"/>
    </row>
    <row r="438">
      <c r="A438" s="37"/>
      <c r="B438" s="38"/>
      <c r="C438" s="39"/>
      <c r="D438" s="39"/>
      <c r="E438" s="39"/>
      <c r="F438" s="39"/>
      <c r="G438" s="39"/>
      <c r="H438" s="39"/>
    </row>
    <row r="439">
      <c r="A439" s="37"/>
      <c r="B439" s="38"/>
      <c r="C439" s="39"/>
      <c r="D439" s="39"/>
      <c r="E439" s="39"/>
      <c r="F439" s="39"/>
      <c r="G439" s="39"/>
      <c r="H439" s="39"/>
    </row>
    <row r="440">
      <c r="A440" s="37"/>
      <c r="B440" s="38"/>
      <c r="C440" s="39"/>
      <c r="D440" s="39"/>
      <c r="E440" s="39"/>
      <c r="F440" s="39"/>
      <c r="G440" s="39"/>
      <c r="H440" s="39"/>
    </row>
    <row r="441">
      <c r="A441" s="37"/>
      <c r="B441" s="38"/>
      <c r="C441" s="39"/>
      <c r="D441" s="39"/>
      <c r="E441" s="39"/>
      <c r="F441" s="39"/>
      <c r="G441" s="39"/>
      <c r="H441" s="39"/>
    </row>
    <row r="442">
      <c r="A442" s="37"/>
      <c r="B442" s="38"/>
      <c r="C442" s="39"/>
      <c r="D442" s="39"/>
      <c r="E442" s="39"/>
      <c r="F442" s="39"/>
      <c r="G442" s="39"/>
      <c r="H442" s="39"/>
    </row>
    <row r="443">
      <c r="A443" s="37"/>
      <c r="B443" s="38"/>
      <c r="C443" s="39"/>
      <c r="D443" s="39"/>
      <c r="E443" s="39"/>
      <c r="F443" s="39"/>
      <c r="G443" s="39"/>
      <c r="H443" s="39"/>
    </row>
    <row r="444">
      <c r="A444" s="37"/>
      <c r="B444" s="38"/>
      <c r="C444" s="39"/>
      <c r="D444" s="39"/>
      <c r="E444" s="39"/>
      <c r="F444" s="39"/>
      <c r="G444" s="39"/>
      <c r="H444" s="39"/>
    </row>
    <row r="445">
      <c r="A445" s="37"/>
      <c r="B445" s="38"/>
      <c r="C445" s="39"/>
      <c r="D445" s="39"/>
      <c r="E445" s="39"/>
      <c r="F445" s="39"/>
      <c r="G445" s="39"/>
      <c r="H445" s="39"/>
    </row>
    <row r="446">
      <c r="A446" s="37"/>
      <c r="B446" s="38"/>
      <c r="C446" s="39"/>
      <c r="D446" s="39"/>
      <c r="E446" s="39"/>
      <c r="F446" s="39"/>
      <c r="G446" s="39"/>
      <c r="H446" s="39"/>
    </row>
    <row r="447">
      <c r="A447" s="37"/>
      <c r="B447" s="38"/>
      <c r="C447" s="39"/>
      <c r="D447" s="39"/>
      <c r="E447" s="39"/>
      <c r="F447" s="39"/>
      <c r="G447" s="39"/>
      <c r="H447" s="39"/>
    </row>
    <row r="448">
      <c r="A448" s="37"/>
      <c r="B448" s="38"/>
      <c r="C448" s="39"/>
      <c r="D448" s="39"/>
      <c r="E448" s="39"/>
      <c r="F448" s="39"/>
      <c r="G448" s="39"/>
      <c r="H448" s="39"/>
    </row>
    <row r="449">
      <c r="A449" s="37"/>
      <c r="B449" s="38"/>
      <c r="C449" s="39"/>
      <c r="D449" s="39"/>
      <c r="E449" s="39"/>
      <c r="F449" s="39"/>
      <c r="G449" s="39"/>
      <c r="H449" s="39"/>
    </row>
    <row r="450">
      <c r="A450" s="37"/>
      <c r="B450" s="38"/>
      <c r="C450" s="39"/>
      <c r="D450" s="39"/>
      <c r="E450" s="39"/>
      <c r="F450" s="39"/>
      <c r="G450" s="39"/>
      <c r="H450" s="39"/>
    </row>
    <row r="451">
      <c r="A451" s="37"/>
      <c r="B451" s="38"/>
      <c r="C451" s="39"/>
      <c r="D451" s="39"/>
      <c r="E451" s="39"/>
      <c r="F451" s="39"/>
      <c r="G451" s="39"/>
      <c r="H451" s="39"/>
    </row>
    <row r="452">
      <c r="A452" s="37"/>
      <c r="B452" s="38"/>
      <c r="C452" s="39"/>
      <c r="D452" s="39"/>
      <c r="E452" s="39"/>
      <c r="F452" s="39"/>
      <c r="G452" s="39"/>
      <c r="H452" s="39"/>
    </row>
    <row r="453">
      <c r="A453" s="37"/>
      <c r="B453" s="38"/>
      <c r="C453" s="39"/>
      <c r="D453" s="39"/>
      <c r="E453" s="39"/>
      <c r="F453" s="39"/>
      <c r="G453" s="39"/>
      <c r="H453" s="39"/>
    </row>
    <row r="454">
      <c r="A454" s="37"/>
      <c r="B454" s="38"/>
      <c r="C454" s="39"/>
      <c r="D454" s="39"/>
      <c r="E454" s="39"/>
      <c r="F454" s="39"/>
      <c r="G454" s="39"/>
      <c r="H454" s="39"/>
    </row>
    <row r="455">
      <c r="A455" s="37"/>
      <c r="B455" s="38"/>
      <c r="C455" s="39"/>
      <c r="D455" s="39"/>
      <c r="E455" s="39"/>
      <c r="F455" s="39"/>
      <c r="G455" s="39"/>
      <c r="H455" s="39"/>
    </row>
    <row r="456">
      <c r="A456" s="37"/>
      <c r="B456" s="38"/>
      <c r="C456" s="39"/>
      <c r="D456" s="39"/>
      <c r="E456" s="39"/>
      <c r="F456" s="39"/>
      <c r="G456" s="39"/>
      <c r="H456" s="39"/>
    </row>
    <row r="457">
      <c r="A457" s="37"/>
      <c r="B457" s="38"/>
      <c r="C457" s="39"/>
      <c r="D457" s="39"/>
      <c r="E457" s="39"/>
      <c r="F457" s="39"/>
      <c r="G457" s="39"/>
      <c r="H457" s="39"/>
    </row>
    <row r="458">
      <c r="A458" s="37"/>
      <c r="B458" s="38"/>
      <c r="C458" s="39"/>
      <c r="D458" s="39"/>
      <c r="E458" s="39"/>
      <c r="F458" s="39"/>
      <c r="G458" s="39"/>
      <c r="H458" s="39"/>
    </row>
    <row r="459">
      <c r="A459" s="37"/>
      <c r="B459" s="38"/>
      <c r="C459" s="39"/>
      <c r="D459" s="39"/>
      <c r="E459" s="39"/>
      <c r="F459" s="39"/>
      <c r="G459" s="39"/>
      <c r="H459" s="39"/>
    </row>
    <row r="460">
      <c r="A460" s="37"/>
      <c r="B460" s="38"/>
      <c r="C460" s="39"/>
      <c r="D460" s="39"/>
      <c r="E460" s="39"/>
      <c r="F460" s="39"/>
      <c r="G460" s="39"/>
      <c r="H460" s="39"/>
    </row>
    <row r="461">
      <c r="A461" s="37"/>
      <c r="B461" s="38"/>
      <c r="C461" s="39"/>
      <c r="D461" s="39"/>
      <c r="E461" s="39"/>
      <c r="F461" s="39"/>
      <c r="G461" s="39"/>
      <c r="H461" s="39"/>
    </row>
    <row r="462">
      <c r="A462" s="37"/>
      <c r="B462" s="38"/>
      <c r="C462" s="39"/>
      <c r="D462" s="39"/>
      <c r="E462" s="39"/>
      <c r="F462" s="39"/>
      <c r="G462" s="39"/>
      <c r="H462" s="39"/>
    </row>
    <row r="463">
      <c r="A463" s="37"/>
      <c r="B463" s="38"/>
      <c r="C463" s="39"/>
      <c r="D463" s="39"/>
      <c r="E463" s="39"/>
      <c r="F463" s="39"/>
      <c r="G463" s="39"/>
      <c r="H463" s="39"/>
    </row>
    <row r="464">
      <c r="A464" s="37"/>
      <c r="B464" s="38"/>
      <c r="C464" s="39"/>
      <c r="D464" s="39"/>
      <c r="E464" s="39"/>
      <c r="F464" s="39"/>
      <c r="G464" s="39"/>
      <c r="H464" s="39"/>
    </row>
    <row r="465">
      <c r="A465" s="37"/>
      <c r="B465" s="38"/>
      <c r="C465" s="39"/>
      <c r="D465" s="39"/>
      <c r="E465" s="39"/>
      <c r="F465" s="39"/>
      <c r="G465" s="39"/>
      <c r="H465" s="39"/>
    </row>
    <row r="466">
      <c r="A466" s="37"/>
      <c r="B466" s="38"/>
      <c r="C466" s="39"/>
      <c r="D466" s="39"/>
      <c r="E466" s="39"/>
      <c r="F466" s="39"/>
      <c r="G466" s="39"/>
      <c r="H466" s="39"/>
    </row>
    <row r="467">
      <c r="A467" s="37"/>
      <c r="B467" s="38"/>
      <c r="C467" s="39"/>
      <c r="D467" s="39"/>
      <c r="E467" s="39"/>
      <c r="F467" s="39"/>
      <c r="G467" s="39"/>
      <c r="H467" s="39"/>
    </row>
    <row r="468">
      <c r="A468" s="37"/>
      <c r="B468" s="38"/>
      <c r="C468" s="39"/>
      <c r="D468" s="39"/>
      <c r="E468" s="39"/>
      <c r="F468" s="39"/>
      <c r="G468" s="39"/>
      <c r="H468" s="39"/>
    </row>
    <row r="469">
      <c r="A469" s="37"/>
      <c r="B469" s="38"/>
      <c r="C469" s="39"/>
      <c r="D469" s="39"/>
      <c r="E469" s="39"/>
      <c r="F469" s="39"/>
      <c r="G469" s="39"/>
      <c r="H469" s="39"/>
    </row>
    <row r="470">
      <c r="A470" s="37"/>
      <c r="B470" s="38"/>
      <c r="C470" s="39"/>
      <c r="D470" s="39"/>
      <c r="E470" s="39"/>
      <c r="F470" s="39"/>
      <c r="G470" s="39"/>
      <c r="H470" s="39"/>
    </row>
    <row r="471">
      <c r="A471" s="37"/>
      <c r="B471" s="38"/>
      <c r="C471" s="39"/>
      <c r="D471" s="39"/>
      <c r="E471" s="39"/>
      <c r="F471" s="39"/>
      <c r="G471" s="39"/>
      <c r="H471" s="39"/>
    </row>
    <row r="472">
      <c r="A472" s="37"/>
      <c r="B472" s="38"/>
      <c r="C472" s="39"/>
      <c r="D472" s="39"/>
      <c r="E472" s="39"/>
      <c r="F472" s="39"/>
      <c r="G472" s="39"/>
      <c r="H472" s="39"/>
    </row>
    <row r="473">
      <c r="A473" s="37"/>
      <c r="B473" s="38"/>
      <c r="C473" s="39"/>
      <c r="D473" s="39"/>
      <c r="E473" s="39"/>
      <c r="F473" s="39"/>
      <c r="G473" s="39"/>
      <c r="H473" s="39"/>
    </row>
    <row r="474">
      <c r="A474" s="37"/>
      <c r="B474" s="38"/>
      <c r="C474" s="39"/>
      <c r="D474" s="39"/>
      <c r="E474" s="39"/>
      <c r="F474" s="39"/>
      <c r="G474" s="39"/>
      <c r="H474" s="39"/>
    </row>
    <row r="475">
      <c r="A475" s="37"/>
      <c r="B475" s="38"/>
      <c r="C475" s="39"/>
      <c r="D475" s="39"/>
      <c r="E475" s="39"/>
      <c r="F475" s="39"/>
      <c r="G475" s="39"/>
      <c r="H475" s="39"/>
    </row>
    <row r="476">
      <c r="A476" s="37"/>
      <c r="B476" s="38"/>
      <c r="C476" s="39"/>
      <c r="D476" s="39"/>
      <c r="E476" s="39"/>
      <c r="F476" s="39"/>
      <c r="G476" s="39"/>
      <c r="H476" s="39"/>
    </row>
    <row r="477">
      <c r="A477" s="37"/>
      <c r="B477" s="38"/>
      <c r="C477" s="39"/>
      <c r="D477" s="39"/>
      <c r="E477" s="39"/>
      <c r="F477" s="39"/>
      <c r="G477" s="39"/>
      <c r="H477" s="39"/>
    </row>
    <row r="478">
      <c r="A478" s="37"/>
      <c r="B478" s="38"/>
      <c r="C478" s="39"/>
      <c r="D478" s="39"/>
      <c r="E478" s="39"/>
      <c r="F478" s="39"/>
      <c r="G478" s="39"/>
      <c r="H478" s="39"/>
    </row>
    <row r="479">
      <c r="A479" s="37"/>
      <c r="B479" s="38"/>
      <c r="C479" s="39"/>
      <c r="D479" s="39"/>
      <c r="E479" s="39"/>
      <c r="F479" s="39"/>
      <c r="G479" s="39"/>
      <c r="H479" s="39"/>
    </row>
    <row r="480">
      <c r="A480" s="37"/>
      <c r="B480" s="38"/>
      <c r="C480" s="39"/>
      <c r="D480" s="39"/>
      <c r="E480" s="39"/>
      <c r="F480" s="39"/>
      <c r="G480" s="39"/>
      <c r="H480" s="39"/>
    </row>
    <row r="481">
      <c r="A481" s="37"/>
      <c r="B481" s="38"/>
      <c r="C481" s="39"/>
      <c r="D481" s="39"/>
      <c r="E481" s="39"/>
      <c r="F481" s="39"/>
      <c r="G481" s="39"/>
      <c r="H481" s="39"/>
    </row>
    <row r="482">
      <c r="A482" s="37"/>
      <c r="B482" s="38"/>
      <c r="C482" s="39"/>
      <c r="D482" s="39"/>
      <c r="E482" s="39"/>
      <c r="F482" s="39"/>
      <c r="G482" s="39"/>
      <c r="H482" s="39"/>
    </row>
    <row r="483">
      <c r="A483" s="37"/>
      <c r="B483" s="38"/>
      <c r="C483" s="39"/>
      <c r="D483" s="39"/>
      <c r="E483" s="39"/>
      <c r="F483" s="39"/>
      <c r="G483" s="39"/>
      <c r="H483" s="39"/>
    </row>
    <row r="484">
      <c r="A484" s="37"/>
      <c r="B484" s="38"/>
      <c r="C484" s="39"/>
      <c r="D484" s="39"/>
      <c r="E484" s="39"/>
      <c r="F484" s="39"/>
      <c r="G484" s="39"/>
      <c r="H484" s="39"/>
    </row>
    <row r="485">
      <c r="A485" s="37"/>
      <c r="B485" s="38"/>
      <c r="C485" s="39"/>
      <c r="D485" s="39"/>
      <c r="E485" s="39"/>
      <c r="F485" s="39"/>
      <c r="G485" s="39"/>
      <c r="H485" s="39"/>
    </row>
    <row r="486">
      <c r="A486" s="37"/>
      <c r="B486" s="38"/>
      <c r="C486" s="39"/>
      <c r="D486" s="39"/>
      <c r="E486" s="39"/>
      <c r="F486" s="39"/>
      <c r="G486" s="39"/>
      <c r="H486" s="39"/>
    </row>
    <row r="487">
      <c r="A487" s="37"/>
      <c r="B487" s="38"/>
      <c r="C487" s="39"/>
      <c r="D487" s="39"/>
      <c r="E487" s="39"/>
      <c r="F487" s="39"/>
      <c r="G487" s="39"/>
      <c r="H487" s="39"/>
    </row>
    <row r="488">
      <c r="A488" s="37"/>
      <c r="B488" s="38"/>
      <c r="C488" s="39"/>
      <c r="D488" s="39"/>
      <c r="E488" s="39"/>
      <c r="F488" s="39"/>
      <c r="G488" s="39"/>
      <c r="H488" s="39"/>
    </row>
    <row r="489">
      <c r="A489" s="37"/>
      <c r="B489" s="38"/>
      <c r="C489" s="39"/>
      <c r="D489" s="39"/>
      <c r="E489" s="39"/>
      <c r="F489" s="39"/>
      <c r="G489" s="39"/>
      <c r="H489" s="39"/>
    </row>
    <row r="490">
      <c r="A490" s="37"/>
      <c r="B490" s="38"/>
      <c r="C490" s="39"/>
      <c r="D490" s="39"/>
      <c r="E490" s="39"/>
      <c r="F490" s="39"/>
      <c r="G490" s="39"/>
      <c r="H490" s="39"/>
    </row>
    <row r="491">
      <c r="A491" s="37"/>
      <c r="B491" s="38"/>
      <c r="C491" s="39"/>
      <c r="D491" s="39"/>
      <c r="E491" s="39"/>
      <c r="F491" s="39"/>
      <c r="G491" s="39"/>
      <c r="H491" s="39"/>
    </row>
    <row r="492">
      <c r="A492" s="37"/>
      <c r="B492" s="38"/>
      <c r="C492" s="39"/>
      <c r="D492" s="39"/>
      <c r="E492" s="39"/>
      <c r="F492" s="39"/>
      <c r="G492" s="39"/>
      <c r="H492" s="39"/>
    </row>
    <row r="493">
      <c r="A493" s="37"/>
      <c r="B493" s="38"/>
      <c r="C493" s="39"/>
      <c r="D493" s="39"/>
      <c r="E493" s="39"/>
      <c r="F493" s="39"/>
      <c r="G493" s="39"/>
      <c r="H493" s="39"/>
    </row>
    <row r="494">
      <c r="A494" s="37"/>
      <c r="B494" s="38"/>
      <c r="C494" s="39"/>
      <c r="D494" s="39"/>
      <c r="E494" s="39"/>
      <c r="F494" s="39"/>
      <c r="G494" s="39"/>
      <c r="H494" s="39"/>
    </row>
    <row r="495">
      <c r="A495" s="37"/>
      <c r="B495" s="38"/>
      <c r="C495" s="39"/>
      <c r="D495" s="39"/>
      <c r="E495" s="39"/>
      <c r="F495" s="39"/>
      <c r="G495" s="39"/>
      <c r="H495" s="39"/>
    </row>
    <row r="496">
      <c r="A496" s="37"/>
      <c r="B496" s="38"/>
      <c r="C496" s="39"/>
      <c r="D496" s="39"/>
      <c r="E496" s="39"/>
      <c r="F496" s="39"/>
      <c r="G496" s="39"/>
      <c r="H496" s="39"/>
    </row>
    <row r="497">
      <c r="A497" s="37"/>
      <c r="B497" s="38"/>
      <c r="C497" s="39"/>
      <c r="D497" s="39"/>
      <c r="E497" s="39"/>
      <c r="F497" s="39"/>
      <c r="G497" s="39"/>
      <c r="H497" s="39"/>
    </row>
    <row r="498">
      <c r="A498" s="37"/>
      <c r="B498" s="38"/>
      <c r="C498" s="39"/>
      <c r="D498" s="39"/>
      <c r="E498" s="39"/>
      <c r="F498" s="39"/>
      <c r="G498" s="39"/>
      <c r="H498" s="39"/>
    </row>
    <row r="499">
      <c r="A499" s="37"/>
      <c r="B499" s="38"/>
      <c r="C499" s="39"/>
      <c r="D499" s="39"/>
      <c r="E499" s="39"/>
      <c r="F499" s="39"/>
      <c r="G499" s="39"/>
      <c r="H499" s="39"/>
    </row>
    <row r="500">
      <c r="A500" s="37"/>
      <c r="B500" s="38"/>
      <c r="C500" s="39"/>
      <c r="D500" s="39"/>
      <c r="E500" s="39"/>
      <c r="F500" s="39"/>
      <c r="G500" s="39"/>
      <c r="H500" s="39"/>
    </row>
    <row r="501">
      <c r="A501" s="37"/>
      <c r="B501" s="38"/>
      <c r="C501" s="39"/>
      <c r="D501" s="39"/>
      <c r="E501" s="39"/>
      <c r="F501" s="39"/>
      <c r="G501" s="39"/>
      <c r="H501" s="39"/>
    </row>
    <row r="502">
      <c r="A502" s="37"/>
      <c r="B502" s="38"/>
      <c r="C502" s="39"/>
      <c r="D502" s="39"/>
      <c r="E502" s="39"/>
      <c r="F502" s="39"/>
      <c r="G502" s="39"/>
      <c r="H502" s="39"/>
    </row>
    <row r="503">
      <c r="A503" s="37"/>
      <c r="B503" s="38"/>
      <c r="C503" s="39"/>
      <c r="D503" s="39"/>
      <c r="E503" s="39"/>
      <c r="F503" s="39"/>
      <c r="G503" s="39"/>
      <c r="H503" s="39"/>
    </row>
    <row r="504">
      <c r="A504" s="37"/>
      <c r="B504" s="38"/>
      <c r="C504" s="39"/>
      <c r="D504" s="39"/>
      <c r="E504" s="39"/>
      <c r="F504" s="39"/>
      <c r="G504" s="39"/>
      <c r="H504" s="39"/>
    </row>
    <row r="505">
      <c r="A505" s="37"/>
      <c r="B505" s="38"/>
      <c r="C505" s="39"/>
      <c r="D505" s="39"/>
      <c r="E505" s="39"/>
      <c r="F505" s="39"/>
      <c r="G505" s="39"/>
      <c r="H505" s="39"/>
    </row>
    <row r="506">
      <c r="A506" s="37"/>
      <c r="B506" s="38"/>
      <c r="C506" s="39"/>
      <c r="D506" s="39"/>
      <c r="E506" s="39"/>
      <c r="F506" s="39"/>
      <c r="G506" s="39"/>
      <c r="H506" s="39"/>
    </row>
    <row r="507">
      <c r="A507" s="37"/>
      <c r="B507" s="38"/>
      <c r="C507" s="39"/>
      <c r="D507" s="39"/>
      <c r="E507" s="39"/>
      <c r="F507" s="39"/>
      <c r="G507" s="39"/>
      <c r="H507" s="39"/>
    </row>
    <row r="508">
      <c r="A508" s="37"/>
      <c r="B508" s="38"/>
      <c r="C508" s="39"/>
      <c r="D508" s="39"/>
      <c r="E508" s="39"/>
      <c r="F508" s="39"/>
      <c r="G508" s="39"/>
      <c r="H508" s="39"/>
    </row>
    <row r="509">
      <c r="A509" s="37"/>
      <c r="B509" s="38"/>
      <c r="C509" s="39"/>
      <c r="D509" s="39"/>
      <c r="E509" s="39"/>
      <c r="F509" s="39"/>
      <c r="G509" s="39"/>
      <c r="H509" s="39"/>
    </row>
    <row r="510">
      <c r="A510" s="37"/>
      <c r="B510" s="38"/>
      <c r="C510" s="39"/>
      <c r="D510" s="39"/>
      <c r="E510" s="39"/>
      <c r="F510" s="39"/>
      <c r="G510" s="39"/>
      <c r="H510" s="39"/>
    </row>
    <row r="511">
      <c r="A511" s="37"/>
      <c r="B511" s="38"/>
      <c r="C511" s="39"/>
      <c r="D511" s="39"/>
      <c r="E511" s="39"/>
      <c r="F511" s="39"/>
      <c r="G511" s="39"/>
      <c r="H511" s="39"/>
    </row>
    <row r="512">
      <c r="A512" s="37"/>
      <c r="B512" s="38"/>
      <c r="C512" s="39"/>
      <c r="D512" s="39"/>
      <c r="E512" s="39"/>
      <c r="F512" s="39"/>
      <c r="G512" s="39"/>
      <c r="H512" s="39"/>
    </row>
    <row r="513">
      <c r="A513" s="37"/>
      <c r="B513" s="38"/>
      <c r="C513" s="39"/>
      <c r="D513" s="39"/>
      <c r="E513" s="39"/>
      <c r="F513" s="39"/>
      <c r="G513" s="39"/>
      <c r="H513" s="39"/>
    </row>
    <row r="514">
      <c r="A514" s="37"/>
      <c r="B514" s="38"/>
      <c r="C514" s="39"/>
      <c r="D514" s="39"/>
      <c r="E514" s="39"/>
      <c r="F514" s="39"/>
      <c r="G514" s="39"/>
      <c r="H514" s="39"/>
    </row>
    <row r="515">
      <c r="A515" s="37"/>
      <c r="B515" s="38"/>
      <c r="C515" s="39"/>
      <c r="D515" s="39"/>
      <c r="E515" s="39"/>
      <c r="F515" s="39"/>
      <c r="G515" s="39"/>
      <c r="H515" s="39"/>
    </row>
    <row r="516">
      <c r="A516" s="37"/>
      <c r="B516" s="38"/>
      <c r="C516" s="39"/>
      <c r="D516" s="39"/>
      <c r="E516" s="39"/>
      <c r="F516" s="39"/>
      <c r="G516" s="39"/>
      <c r="H516" s="39"/>
    </row>
    <row r="517">
      <c r="A517" s="37"/>
      <c r="B517" s="38"/>
      <c r="C517" s="39"/>
      <c r="D517" s="39"/>
      <c r="E517" s="39"/>
      <c r="F517" s="39"/>
      <c r="G517" s="39"/>
      <c r="H517" s="39"/>
    </row>
    <row r="518">
      <c r="A518" s="37"/>
      <c r="B518" s="38"/>
      <c r="C518" s="39"/>
      <c r="D518" s="39"/>
      <c r="E518" s="39"/>
      <c r="F518" s="39"/>
      <c r="G518" s="39"/>
      <c r="H518" s="39"/>
    </row>
    <row r="519">
      <c r="A519" s="37"/>
      <c r="B519" s="38"/>
      <c r="C519" s="39"/>
      <c r="D519" s="39"/>
      <c r="E519" s="39"/>
      <c r="F519" s="39"/>
      <c r="G519" s="39"/>
      <c r="H519" s="39"/>
    </row>
    <row r="520">
      <c r="A520" s="37"/>
      <c r="B520" s="38"/>
      <c r="C520" s="39"/>
      <c r="D520" s="39"/>
      <c r="E520" s="39"/>
      <c r="F520" s="39"/>
      <c r="G520" s="39"/>
      <c r="H520" s="39"/>
    </row>
    <row r="521">
      <c r="A521" s="37"/>
      <c r="B521" s="38"/>
      <c r="C521" s="39"/>
      <c r="D521" s="39"/>
      <c r="E521" s="39"/>
      <c r="F521" s="39"/>
      <c r="G521" s="39"/>
      <c r="H521" s="39"/>
    </row>
    <row r="522">
      <c r="A522" s="37"/>
      <c r="B522" s="38"/>
      <c r="C522" s="39"/>
      <c r="D522" s="39"/>
      <c r="E522" s="39"/>
      <c r="F522" s="39"/>
      <c r="G522" s="39"/>
      <c r="H522" s="39"/>
    </row>
    <row r="523">
      <c r="A523" s="37"/>
      <c r="B523" s="38"/>
      <c r="C523" s="39"/>
      <c r="D523" s="39"/>
      <c r="E523" s="39"/>
      <c r="F523" s="39"/>
      <c r="G523" s="39"/>
      <c r="H523" s="39"/>
    </row>
    <row r="524">
      <c r="A524" s="37"/>
      <c r="B524" s="38"/>
      <c r="C524" s="39"/>
      <c r="D524" s="39"/>
      <c r="E524" s="39"/>
      <c r="F524" s="39"/>
      <c r="G524" s="39"/>
      <c r="H524" s="39"/>
    </row>
    <row r="525">
      <c r="A525" s="37"/>
      <c r="B525" s="38"/>
      <c r="C525" s="39"/>
      <c r="D525" s="39"/>
      <c r="E525" s="39"/>
      <c r="F525" s="39"/>
      <c r="G525" s="39"/>
      <c r="H525" s="39"/>
    </row>
    <row r="526">
      <c r="A526" s="37"/>
      <c r="B526" s="38"/>
      <c r="C526" s="39"/>
      <c r="D526" s="39"/>
      <c r="E526" s="39"/>
      <c r="F526" s="39"/>
      <c r="G526" s="39"/>
      <c r="H526" s="39"/>
    </row>
    <row r="527">
      <c r="A527" s="37"/>
      <c r="B527" s="38"/>
      <c r="C527" s="39"/>
      <c r="D527" s="39"/>
      <c r="E527" s="39"/>
      <c r="F527" s="39"/>
      <c r="G527" s="39"/>
      <c r="H527" s="39"/>
    </row>
    <row r="528">
      <c r="A528" s="37"/>
      <c r="B528" s="38"/>
      <c r="C528" s="39"/>
      <c r="D528" s="39"/>
      <c r="E528" s="39"/>
      <c r="F528" s="39"/>
      <c r="G528" s="39"/>
      <c r="H528" s="39"/>
    </row>
    <row r="529">
      <c r="A529" s="37"/>
      <c r="B529" s="38"/>
      <c r="C529" s="39"/>
      <c r="D529" s="39"/>
      <c r="E529" s="39"/>
      <c r="F529" s="39"/>
      <c r="G529" s="39"/>
      <c r="H529" s="39"/>
    </row>
    <row r="530">
      <c r="A530" s="37"/>
      <c r="B530" s="38"/>
      <c r="C530" s="39"/>
      <c r="D530" s="39"/>
      <c r="E530" s="39"/>
      <c r="F530" s="39"/>
      <c r="G530" s="39"/>
      <c r="H530" s="39"/>
    </row>
    <row r="531">
      <c r="A531" s="37"/>
      <c r="B531" s="38"/>
      <c r="C531" s="39"/>
      <c r="D531" s="39"/>
      <c r="E531" s="39"/>
      <c r="F531" s="39"/>
      <c r="G531" s="39"/>
      <c r="H531" s="39"/>
    </row>
    <row r="532">
      <c r="A532" s="37"/>
      <c r="B532" s="38"/>
      <c r="C532" s="39"/>
      <c r="D532" s="39"/>
      <c r="E532" s="39"/>
      <c r="F532" s="39"/>
      <c r="G532" s="39"/>
      <c r="H532" s="39"/>
    </row>
    <row r="533">
      <c r="A533" s="37"/>
      <c r="B533" s="38"/>
      <c r="C533" s="39"/>
      <c r="D533" s="39"/>
      <c r="E533" s="39"/>
      <c r="F533" s="39"/>
      <c r="G533" s="39"/>
      <c r="H533" s="39"/>
    </row>
    <row r="534">
      <c r="A534" s="37"/>
      <c r="B534" s="38"/>
      <c r="C534" s="39"/>
      <c r="D534" s="39"/>
      <c r="E534" s="39"/>
      <c r="F534" s="39"/>
      <c r="G534" s="39"/>
      <c r="H534" s="39"/>
    </row>
    <row r="535">
      <c r="A535" s="37"/>
      <c r="B535" s="38"/>
      <c r="C535" s="39"/>
      <c r="D535" s="39"/>
      <c r="E535" s="39"/>
      <c r="F535" s="39"/>
      <c r="G535" s="39"/>
      <c r="H535" s="39"/>
    </row>
    <row r="536">
      <c r="A536" s="37"/>
      <c r="B536" s="38"/>
      <c r="C536" s="39"/>
      <c r="D536" s="39"/>
      <c r="E536" s="39"/>
      <c r="F536" s="39"/>
      <c r="G536" s="39"/>
      <c r="H536" s="39"/>
    </row>
    <row r="537">
      <c r="A537" s="37"/>
      <c r="B537" s="38"/>
      <c r="C537" s="39"/>
      <c r="D537" s="39"/>
      <c r="E537" s="39"/>
      <c r="F537" s="39"/>
      <c r="G537" s="39"/>
      <c r="H537" s="39"/>
    </row>
    <row r="538">
      <c r="A538" s="37"/>
      <c r="B538" s="38"/>
      <c r="C538" s="39"/>
      <c r="D538" s="39"/>
      <c r="E538" s="39"/>
      <c r="F538" s="39"/>
      <c r="G538" s="39"/>
      <c r="H538" s="39"/>
    </row>
    <row r="539">
      <c r="A539" s="37"/>
      <c r="B539" s="38"/>
      <c r="C539" s="39"/>
      <c r="D539" s="39"/>
      <c r="E539" s="39"/>
      <c r="F539" s="39"/>
      <c r="G539" s="39"/>
      <c r="H539" s="39"/>
    </row>
    <row r="540">
      <c r="A540" s="37"/>
      <c r="B540" s="38"/>
      <c r="C540" s="39"/>
      <c r="D540" s="39"/>
      <c r="E540" s="39"/>
      <c r="F540" s="39"/>
      <c r="G540" s="39"/>
      <c r="H540" s="39"/>
    </row>
    <row r="541">
      <c r="A541" s="37"/>
      <c r="B541" s="38"/>
      <c r="C541" s="39"/>
      <c r="D541" s="39"/>
      <c r="E541" s="39"/>
      <c r="F541" s="39"/>
      <c r="G541" s="39"/>
      <c r="H541" s="39"/>
    </row>
    <row r="542">
      <c r="A542" s="37"/>
      <c r="B542" s="38"/>
      <c r="C542" s="39"/>
      <c r="D542" s="39"/>
      <c r="E542" s="39"/>
      <c r="F542" s="39"/>
      <c r="G542" s="39"/>
      <c r="H542" s="39"/>
    </row>
    <row r="543">
      <c r="A543" s="37"/>
      <c r="B543" s="38"/>
      <c r="C543" s="39"/>
      <c r="D543" s="39"/>
      <c r="E543" s="39"/>
      <c r="F543" s="39"/>
      <c r="G543" s="39"/>
      <c r="H543" s="39"/>
    </row>
    <row r="544">
      <c r="A544" s="37"/>
      <c r="B544" s="38"/>
      <c r="C544" s="39"/>
      <c r="D544" s="39"/>
      <c r="E544" s="39"/>
      <c r="F544" s="39"/>
      <c r="G544" s="39"/>
      <c r="H544" s="39"/>
    </row>
    <row r="545">
      <c r="A545" s="37"/>
      <c r="B545" s="38"/>
      <c r="C545" s="39"/>
      <c r="D545" s="39"/>
      <c r="E545" s="39"/>
      <c r="F545" s="39"/>
      <c r="G545" s="39"/>
      <c r="H545" s="39"/>
    </row>
    <row r="546">
      <c r="A546" s="37"/>
      <c r="B546" s="38"/>
      <c r="C546" s="39"/>
      <c r="D546" s="39"/>
      <c r="E546" s="39"/>
      <c r="F546" s="39"/>
      <c r="G546" s="39"/>
      <c r="H546" s="39"/>
    </row>
    <row r="547">
      <c r="A547" s="37"/>
      <c r="B547" s="38"/>
      <c r="C547" s="39"/>
      <c r="D547" s="39"/>
      <c r="E547" s="39"/>
      <c r="F547" s="39"/>
      <c r="G547" s="39"/>
      <c r="H547" s="39"/>
    </row>
    <row r="548">
      <c r="A548" s="37"/>
      <c r="B548" s="38"/>
      <c r="C548" s="39"/>
      <c r="D548" s="39"/>
      <c r="E548" s="39"/>
      <c r="F548" s="39"/>
      <c r="G548" s="39"/>
      <c r="H548" s="39"/>
    </row>
    <row r="549">
      <c r="A549" s="37"/>
      <c r="B549" s="38"/>
      <c r="C549" s="39"/>
      <c r="D549" s="39"/>
      <c r="E549" s="39"/>
      <c r="F549" s="39"/>
      <c r="G549" s="39"/>
      <c r="H549" s="39"/>
    </row>
    <row r="550">
      <c r="A550" s="37"/>
      <c r="B550" s="38"/>
      <c r="C550" s="39"/>
      <c r="D550" s="39"/>
      <c r="E550" s="39"/>
      <c r="F550" s="39"/>
      <c r="G550" s="39"/>
      <c r="H550" s="39"/>
    </row>
    <row r="551">
      <c r="A551" s="37"/>
      <c r="B551" s="38"/>
      <c r="C551" s="39"/>
      <c r="D551" s="39"/>
      <c r="E551" s="39"/>
      <c r="F551" s="39"/>
      <c r="G551" s="39"/>
      <c r="H551" s="39"/>
    </row>
    <row r="552">
      <c r="A552" s="37"/>
      <c r="B552" s="38"/>
      <c r="C552" s="39"/>
      <c r="D552" s="39"/>
      <c r="E552" s="39"/>
      <c r="F552" s="39"/>
      <c r="G552" s="39"/>
      <c r="H552" s="39"/>
    </row>
    <row r="553">
      <c r="A553" s="37"/>
      <c r="B553" s="38"/>
      <c r="C553" s="39"/>
      <c r="D553" s="39"/>
      <c r="E553" s="39"/>
      <c r="F553" s="39"/>
      <c r="G553" s="39"/>
      <c r="H553" s="39"/>
    </row>
    <row r="554">
      <c r="A554" s="37"/>
      <c r="B554" s="38"/>
      <c r="C554" s="39"/>
      <c r="D554" s="39"/>
      <c r="E554" s="39"/>
      <c r="F554" s="39"/>
      <c r="G554" s="39"/>
      <c r="H554" s="39"/>
    </row>
    <row r="555">
      <c r="A555" s="37"/>
      <c r="B555" s="38"/>
      <c r="C555" s="39"/>
      <c r="D555" s="39"/>
      <c r="E555" s="39"/>
      <c r="F555" s="39"/>
      <c r="G555" s="39"/>
      <c r="H555" s="39"/>
    </row>
    <row r="556">
      <c r="A556" s="37"/>
      <c r="B556" s="38"/>
      <c r="C556" s="39"/>
      <c r="D556" s="39"/>
      <c r="E556" s="39"/>
      <c r="F556" s="39"/>
      <c r="G556" s="39"/>
      <c r="H556" s="39"/>
    </row>
    <row r="557">
      <c r="A557" s="37"/>
      <c r="B557" s="38"/>
      <c r="C557" s="39"/>
      <c r="D557" s="39"/>
      <c r="E557" s="39"/>
      <c r="F557" s="39"/>
      <c r="G557" s="39"/>
      <c r="H557" s="39"/>
    </row>
    <row r="558">
      <c r="A558" s="37"/>
      <c r="B558" s="38"/>
      <c r="C558" s="39"/>
      <c r="D558" s="39"/>
      <c r="E558" s="39"/>
      <c r="F558" s="39"/>
      <c r="G558" s="39"/>
      <c r="H558" s="39"/>
    </row>
    <row r="559">
      <c r="A559" s="37"/>
      <c r="B559" s="38"/>
      <c r="C559" s="39"/>
      <c r="D559" s="39"/>
      <c r="E559" s="39"/>
      <c r="F559" s="39"/>
      <c r="G559" s="39"/>
      <c r="H559" s="39"/>
    </row>
    <row r="560">
      <c r="A560" s="37"/>
      <c r="B560" s="38"/>
      <c r="C560" s="39"/>
      <c r="D560" s="39"/>
      <c r="E560" s="39"/>
      <c r="F560" s="39"/>
      <c r="G560" s="39"/>
      <c r="H560" s="39"/>
    </row>
    <row r="561">
      <c r="A561" s="37"/>
      <c r="B561" s="38"/>
      <c r="C561" s="39"/>
      <c r="D561" s="39"/>
      <c r="E561" s="39"/>
      <c r="F561" s="39"/>
      <c r="G561" s="39"/>
      <c r="H561" s="39"/>
    </row>
    <row r="562">
      <c r="A562" s="37"/>
      <c r="B562" s="38"/>
      <c r="C562" s="39"/>
      <c r="D562" s="39"/>
      <c r="E562" s="39"/>
      <c r="F562" s="39"/>
      <c r="G562" s="39"/>
      <c r="H562" s="39"/>
    </row>
    <row r="563">
      <c r="A563" s="37"/>
      <c r="B563" s="38"/>
      <c r="C563" s="39"/>
      <c r="D563" s="39"/>
      <c r="E563" s="39"/>
      <c r="F563" s="39"/>
      <c r="G563" s="39"/>
      <c r="H563" s="39"/>
    </row>
    <row r="564">
      <c r="A564" s="37"/>
      <c r="B564" s="38"/>
      <c r="C564" s="39"/>
      <c r="D564" s="39"/>
      <c r="E564" s="39"/>
      <c r="F564" s="39"/>
      <c r="G564" s="39"/>
      <c r="H564" s="39"/>
    </row>
    <row r="565">
      <c r="A565" s="37"/>
      <c r="B565" s="38"/>
      <c r="C565" s="39"/>
      <c r="D565" s="39"/>
      <c r="E565" s="39"/>
      <c r="F565" s="39"/>
      <c r="G565" s="39"/>
      <c r="H565" s="39"/>
    </row>
    <row r="566">
      <c r="A566" s="37"/>
      <c r="B566" s="38"/>
      <c r="C566" s="39"/>
      <c r="D566" s="39"/>
      <c r="E566" s="39"/>
      <c r="F566" s="39"/>
      <c r="G566" s="39"/>
      <c r="H566" s="39"/>
    </row>
    <row r="567">
      <c r="A567" s="37"/>
      <c r="B567" s="38"/>
      <c r="C567" s="39"/>
      <c r="D567" s="39"/>
      <c r="E567" s="39"/>
      <c r="F567" s="39"/>
      <c r="G567" s="39"/>
      <c r="H567" s="39"/>
    </row>
    <row r="568">
      <c r="A568" s="37"/>
      <c r="B568" s="38"/>
      <c r="C568" s="39"/>
      <c r="D568" s="39"/>
      <c r="E568" s="39"/>
      <c r="F568" s="39"/>
      <c r="G568" s="39"/>
      <c r="H568" s="39"/>
    </row>
    <row r="569">
      <c r="A569" s="37"/>
      <c r="B569" s="38"/>
      <c r="C569" s="39"/>
      <c r="D569" s="39"/>
      <c r="E569" s="39"/>
      <c r="F569" s="39"/>
      <c r="G569" s="39"/>
      <c r="H569" s="39"/>
    </row>
    <row r="570">
      <c r="A570" s="37"/>
      <c r="B570" s="38"/>
      <c r="C570" s="39"/>
      <c r="D570" s="39"/>
      <c r="E570" s="39"/>
      <c r="F570" s="39"/>
      <c r="G570" s="39"/>
      <c r="H570" s="39"/>
    </row>
    <row r="571">
      <c r="A571" s="37"/>
      <c r="B571" s="38"/>
      <c r="C571" s="39"/>
      <c r="D571" s="39"/>
      <c r="E571" s="39"/>
      <c r="F571" s="39"/>
      <c r="G571" s="39"/>
      <c r="H571" s="39"/>
    </row>
    <row r="572">
      <c r="A572" s="37"/>
      <c r="B572" s="38"/>
      <c r="C572" s="39"/>
      <c r="D572" s="39"/>
      <c r="E572" s="39"/>
      <c r="F572" s="39"/>
      <c r="G572" s="39"/>
      <c r="H572" s="39"/>
    </row>
    <row r="573">
      <c r="A573" s="37"/>
      <c r="B573" s="38"/>
      <c r="C573" s="39"/>
      <c r="D573" s="39"/>
      <c r="E573" s="39"/>
      <c r="F573" s="39"/>
      <c r="G573" s="39"/>
      <c r="H573" s="39"/>
    </row>
    <row r="574">
      <c r="A574" s="37"/>
      <c r="B574" s="38"/>
      <c r="C574" s="39"/>
      <c r="D574" s="39"/>
      <c r="E574" s="39"/>
      <c r="F574" s="39"/>
      <c r="G574" s="39"/>
      <c r="H574" s="39"/>
    </row>
    <row r="575">
      <c r="A575" s="37"/>
      <c r="B575" s="38"/>
      <c r="C575" s="39"/>
      <c r="D575" s="39"/>
      <c r="E575" s="39"/>
      <c r="F575" s="39"/>
      <c r="G575" s="39"/>
      <c r="H575" s="39"/>
    </row>
    <row r="576">
      <c r="A576" s="37"/>
      <c r="B576" s="38"/>
      <c r="C576" s="39"/>
      <c r="D576" s="39"/>
      <c r="E576" s="39"/>
      <c r="F576" s="39"/>
      <c r="G576" s="39"/>
      <c r="H576" s="39"/>
    </row>
    <row r="577">
      <c r="A577" s="37"/>
      <c r="B577" s="38"/>
      <c r="C577" s="39"/>
      <c r="D577" s="39"/>
      <c r="E577" s="39"/>
      <c r="F577" s="39"/>
      <c r="G577" s="39"/>
      <c r="H577" s="39"/>
    </row>
    <row r="578">
      <c r="A578" s="37"/>
      <c r="B578" s="38"/>
      <c r="C578" s="39"/>
      <c r="D578" s="39"/>
      <c r="E578" s="39"/>
      <c r="F578" s="39"/>
      <c r="G578" s="39"/>
      <c r="H578" s="39"/>
    </row>
    <row r="579">
      <c r="A579" s="37"/>
      <c r="B579" s="38"/>
      <c r="C579" s="39"/>
      <c r="D579" s="39"/>
      <c r="E579" s="39"/>
      <c r="F579" s="39"/>
      <c r="G579" s="39"/>
      <c r="H579" s="39"/>
    </row>
    <row r="580">
      <c r="A580" s="37"/>
      <c r="B580" s="38"/>
      <c r="C580" s="39"/>
      <c r="D580" s="39"/>
      <c r="E580" s="39"/>
      <c r="F580" s="39"/>
      <c r="G580" s="39"/>
      <c r="H580" s="39"/>
    </row>
    <row r="581">
      <c r="A581" s="37"/>
      <c r="B581" s="38"/>
      <c r="C581" s="39"/>
      <c r="D581" s="39"/>
      <c r="E581" s="39"/>
      <c r="F581" s="39"/>
      <c r="G581" s="39"/>
      <c r="H581" s="39"/>
    </row>
    <row r="582">
      <c r="A582" s="37"/>
      <c r="B582" s="38"/>
      <c r="C582" s="39"/>
      <c r="D582" s="39"/>
      <c r="E582" s="39"/>
      <c r="F582" s="39"/>
      <c r="G582" s="39"/>
      <c r="H582" s="39"/>
    </row>
    <row r="583">
      <c r="A583" s="37"/>
      <c r="B583" s="38"/>
      <c r="C583" s="39"/>
      <c r="D583" s="39"/>
      <c r="E583" s="39"/>
      <c r="F583" s="39"/>
      <c r="G583" s="39"/>
      <c r="H583" s="39"/>
    </row>
    <row r="584">
      <c r="A584" s="37"/>
      <c r="B584" s="38"/>
      <c r="C584" s="39"/>
      <c r="D584" s="39"/>
      <c r="E584" s="39"/>
      <c r="F584" s="39"/>
      <c r="G584" s="39"/>
      <c r="H584" s="39"/>
    </row>
    <row r="585">
      <c r="A585" s="37"/>
      <c r="B585" s="38"/>
      <c r="C585" s="39"/>
      <c r="D585" s="39"/>
      <c r="E585" s="39"/>
      <c r="F585" s="39"/>
      <c r="G585" s="39"/>
      <c r="H585" s="39"/>
    </row>
    <row r="586">
      <c r="A586" s="37"/>
      <c r="B586" s="38"/>
      <c r="C586" s="39"/>
      <c r="D586" s="39"/>
      <c r="E586" s="39"/>
      <c r="F586" s="39"/>
      <c r="G586" s="39"/>
      <c r="H586" s="39"/>
    </row>
    <row r="587">
      <c r="A587" s="37"/>
      <c r="B587" s="38"/>
      <c r="C587" s="39"/>
      <c r="D587" s="39"/>
      <c r="E587" s="39"/>
      <c r="F587" s="39"/>
      <c r="G587" s="39"/>
      <c r="H587" s="39"/>
    </row>
    <row r="588">
      <c r="A588" s="37"/>
      <c r="B588" s="38"/>
      <c r="C588" s="39"/>
      <c r="D588" s="39"/>
      <c r="E588" s="39"/>
      <c r="F588" s="39"/>
      <c r="G588" s="39"/>
      <c r="H588" s="39"/>
    </row>
    <row r="589">
      <c r="A589" s="37"/>
      <c r="B589" s="38"/>
      <c r="C589" s="39"/>
      <c r="D589" s="39"/>
      <c r="E589" s="39"/>
      <c r="F589" s="39"/>
      <c r="G589" s="39"/>
      <c r="H589" s="39"/>
    </row>
    <row r="590">
      <c r="A590" s="37"/>
      <c r="B590" s="38"/>
      <c r="C590" s="39"/>
      <c r="D590" s="39"/>
      <c r="E590" s="39"/>
      <c r="F590" s="39"/>
      <c r="G590" s="39"/>
      <c r="H590" s="39"/>
    </row>
    <row r="591">
      <c r="A591" s="37"/>
      <c r="B591" s="38"/>
      <c r="C591" s="39"/>
      <c r="D591" s="39"/>
      <c r="E591" s="39"/>
      <c r="F591" s="39"/>
      <c r="G591" s="39"/>
      <c r="H591" s="39"/>
    </row>
    <row r="592">
      <c r="A592" s="37"/>
      <c r="B592" s="38"/>
      <c r="C592" s="39"/>
      <c r="D592" s="39"/>
      <c r="E592" s="39"/>
      <c r="F592" s="39"/>
      <c r="G592" s="39"/>
      <c r="H592" s="39"/>
    </row>
    <row r="593">
      <c r="A593" s="37"/>
      <c r="B593" s="38"/>
      <c r="C593" s="39"/>
      <c r="D593" s="39"/>
      <c r="E593" s="39"/>
      <c r="F593" s="39"/>
      <c r="G593" s="39"/>
      <c r="H593" s="39"/>
    </row>
    <row r="594">
      <c r="A594" s="37"/>
      <c r="B594" s="38"/>
      <c r="C594" s="39"/>
      <c r="D594" s="39"/>
      <c r="E594" s="39"/>
      <c r="F594" s="39"/>
      <c r="G594" s="39"/>
      <c r="H594" s="39"/>
    </row>
    <row r="595">
      <c r="A595" s="37"/>
      <c r="B595" s="38"/>
      <c r="C595" s="39"/>
      <c r="D595" s="39"/>
      <c r="E595" s="39"/>
      <c r="F595" s="39"/>
      <c r="G595" s="39"/>
      <c r="H595" s="39"/>
    </row>
    <row r="596">
      <c r="A596" s="37"/>
      <c r="B596" s="38"/>
      <c r="C596" s="39"/>
      <c r="D596" s="39"/>
      <c r="E596" s="39"/>
      <c r="F596" s="39"/>
      <c r="G596" s="39"/>
      <c r="H596" s="39"/>
    </row>
    <row r="597">
      <c r="A597" s="37"/>
      <c r="B597" s="38"/>
      <c r="C597" s="39"/>
      <c r="D597" s="39"/>
      <c r="E597" s="39"/>
      <c r="F597" s="39"/>
      <c r="G597" s="39"/>
      <c r="H597" s="39"/>
    </row>
    <row r="598">
      <c r="A598" s="37"/>
      <c r="B598" s="38"/>
      <c r="C598" s="39"/>
      <c r="D598" s="39"/>
      <c r="E598" s="39"/>
      <c r="F598" s="39"/>
      <c r="G598" s="39"/>
      <c r="H598" s="39"/>
    </row>
    <row r="599">
      <c r="A599" s="37"/>
      <c r="B599" s="38"/>
      <c r="C599" s="39"/>
      <c r="D599" s="39"/>
      <c r="E599" s="39"/>
      <c r="F599" s="39"/>
      <c r="G599" s="39"/>
      <c r="H599" s="39"/>
    </row>
    <row r="600">
      <c r="A600" s="37"/>
      <c r="B600" s="38"/>
      <c r="C600" s="39"/>
      <c r="D600" s="39"/>
      <c r="E600" s="39"/>
      <c r="F600" s="39"/>
      <c r="G600" s="39"/>
      <c r="H600" s="39"/>
    </row>
    <row r="601">
      <c r="A601" s="37"/>
      <c r="B601" s="38"/>
      <c r="C601" s="39"/>
      <c r="D601" s="39"/>
      <c r="E601" s="39"/>
      <c r="F601" s="39"/>
      <c r="G601" s="39"/>
      <c r="H601" s="39"/>
    </row>
    <row r="602">
      <c r="A602" s="37"/>
      <c r="B602" s="38"/>
      <c r="C602" s="39"/>
      <c r="D602" s="39"/>
      <c r="E602" s="39"/>
      <c r="F602" s="39"/>
      <c r="G602" s="39"/>
      <c r="H602" s="39"/>
    </row>
    <row r="603">
      <c r="A603" s="37"/>
      <c r="B603" s="38"/>
      <c r="C603" s="39"/>
      <c r="D603" s="39"/>
      <c r="E603" s="39"/>
      <c r="F603" s="39"/>
      <c r="G603" s="39"/>
      <c r="H603" s="39"/>
    </row>
    <row r="604">
      <c r="A604" s="37"/>
      <c r="B604" s="38"/>
      <c r="C604" s="39"/>
      <c r="D604" s="39"/>
      <c r="E604" s="39"/>
      <c r="F604" s="39"/>
      <c r="G604" s="39"/>
      <c r="H604" s="39"/>
    </row>
    <row r="605">
      <c r="A605" s="37"/>
      <c r="B605" s="38"/>
      <c r="C605" s="39"/>
      <c r="D605" s="39"/>
      <c r="E605" s="39"/>
      <c r="F605" s="39"/>
      <c r="G605" s="39"/>
      <c r="H605" s="39"/>
    </row>
    <row r="606">
      <c r="A606" s="37"/>
      <c r="B606" s="38"/>
      <c r="C606" s="39"/>
      <c r="D606" s="39"/>
      <c r="E606" s="39"/>
      <c r="F606" s="39"/>
      <c r="G606" s="39"/>
      <c r="H606" s="39"/>
    </row>
    <row r="607">
      <c r="A607" s="37"/>
      <c r="B607" s="38"/>
      <c r="C607" s="39"/>
      <c r="D607" s="39"/>
      <c r="E607" s="39"/>
      <c r="F607" s="39"/>
      <c r="G607" s="39"/>
      <c r="H607" s="39"/>
    </row>
    <row r="608">
      <c r="A608" s="37"/>
      <c r="B608" s="38"/>
      <c r="C608" s="39"/>
      <c r="D608" s="39"/>
      <c r="E608" s="39"/>
      <c r="F608" s="39"/>
      <c r="G608" s="39"/>
      <c r="H608" s="39"/>
    </row>
    <row r="609">
      <c r="A609" s="37"/>
      <c r="B609" s="38"/>
      <c r="C609" s="39"/>
      <c r="D609" s="39"/>
      <c r="E609" s="39"/>
      <c r="F609" s="39"/>
      <c r="G609" s="39"/>
      <c r="H609" s="39"/>
    </row>
    <row r="610">
      <c r="A610" s="37"/>
      <c r="B610" s="38"/>
      <c r="C610" s="39"/>
      <c r="D610" s="39"/>
      <c r="E610" s="39"/>
      <c r="F610" s="39"/>
      <c r="G610" s="39"/>
      <c r="H610" s="39"/>
    </row>
    <row r="611">
      <c r="A611" s="37"/>
      <c r="B611" s="38"/>
      <c r="C611" s="39"/>
      <c r="D611" s="39"/>
      <c r="E611" s="39"/>
      <c r="F611" s="39"/>
      <c r="G611" s="39"/>
      <c r="H611" s="39"/>
    </row>
    <row r="612">
      <c r="A612" s="37"/>
      <c r="B612" s="38"/>
      <c r="C612" s="39"/>
      <c r="D612" s="39"/>
      <c r="E612" s="39"/>
      <c r="F612" s="39"/>
      <c r="G612" s="39"/>
      <c r="H612" s="39"/>
    </row>
    <row r="613">
      <c r="A613" s="37"/>
      <c r="B613" s="38"/>
      <c r="C613" s="39"/>
      <c r="D613" s="39"/>
      <c r="E613" s="39"/>
      <c r="F613" s="39"/>
      <c r="G613" s="39"/>
      <c r="H613" s="39"/>
    </row>
    <row r="614">
      <c r="A614" s="37"/>
      <c r="B614" s="38"/>
      <c r="C614" s="39"/>
      <c r="D614" s="39"/>
      <c r="E614" s="39"/>
      <c r="F614" s="39"/>
      <c r="G614" s="39"/>
      <c r="H614" s="39"/>
    </row>
    <row r="615">
      <c r="A615" s="37"/>
      <c r="B615" s="38"/>
      <c r="C615" s="39"/>
      <c r="D615" s="39"/>
      <c r="E615" s="39"/>
      <c r="F615" s="39"/>
      <c r="G615" s="39"/>
      <c r="H615" s="39"/>
    </row>
    <row r="616">
      <c r="A616" s="37"/>
      <c r="B616" s="38"/>
      <c r="C616" s="39"/>
      <c r="D616" s="39"/>
      <c r="E616" s="39"/>
      <c r="F616" s="39"/>
      <c r="G616" s="39"/>
      <c r="H616" s="39"/>
    </row>
    <row r="617">
      <c r="A617" s="37"/>
      <c r="B617" s="38"/>
      <c r="C617" s="39"/>
      <c r="D617" s="39"/>
      <c r="E617" s="39"/>
      <c r="F617" s="39"/>
      <c r="G617" s="39"/>
      <c r="H617" s="39"/>
    </row>
    <row r="618">
      <c r="A618" s="37"/>
      <c r="B618" s="38"/>
      <c r="C618" s="39"/>
      <c r="D618" s="39"/>
      <c r="E618" s="39"/>
      <c r="F618" s="39"/>
      <c r="G618" s="39"/>
      <c r="H618" s="39"/>
    </row>
    <row r="619">
      <c r="A619" s="37"/>
      <c r="B619" s="38"/>
      <c r="C619" s="39"/>
      <c r="D619" s="39"/>
      <c r="E619" s="39"/>
      <c r="F619" s="39"/>
      <c r="G619" s="39"/>
      <c r="H619" s="39"/>
    </row>
    <row r="620">
      <c r="A620" s="37"/>
      <c r="B620" s="38"/>
      <c r="C620" s="39"/>
      <c r="D620" s="39"/>
      <c r="E620" s="39"/>
      <c r="F620" s="39"/>
      <c r="G620" s="39"/>
      <c r="H620" s="39"/>
    </row>
    <row r="621">
      <c r="A621" s="37"/>
      <c r="B621" s="38"/>
      <c r="C621" s="39"/>
      <c r="D621" s="39"/>
      <c r="E621" s="39"/>
      <c r="F621" s="39"/>
      <c r="G621" s="39"/>
      <c r="H621" s="39"/>
    </row>
    <row r="622">
      <c r="A622" s="37"/>
      <c r="B622" s="38"/>
      <c r="C622" s="39"/>
      <c r="D622" s="39"/>
      <c r="E622" s="39"/>
      <c r="F622" s="39"/>
      <c r="G622" s="39"/>
      <c r="H622" s="39"/>
    </row>
    <row r="623">
      <c r="A623" s="37"/>
      <c r="B623" s="38"/>
      <c r="C623" s="39"/>
      <c r="D623" s="39"/>
      <c r="E623" s="39"/>
      <c r="F623" s="39"/>
      <c r="G623" s="39"/>
      <c r="H623" s="39"/>
    </row>
    <row r="624">
      <c r="A624" s="37"/>
      <c r="B624" s="38"/>
      <c r="C624" s="39"/>
      <c r="D624" s="39"/>
      <c r="E624" s="39"/>
      <c r="F624" s="39"/>
      <c r="G624" s="39"/>
      <c r="H624" s="39"/>
    </row>
    <row r="625">
      <c r="A625" s="37"/>
      <c r="B625" s="38"/>
      <c r="C625" s="39"/>
      <c r="D625" s="39"/>
      <c r="E625" s="39"/>
      <c r="F625" s="39"/>
      <c r="G625" s="39"/>
      <c r="H625" s="39"/>
    </row>
    <row r="626">
      <c r="A626" s="37"/>
      <c r="B626" s="38"/>
      <c r="C626" s="39"/>
      <c r="D626" s="39"/>
      <c r="E626" s="39"/>
      <c r="F626" s="39"/>
      <c r="G626" s="39"/>
      <c r="H626" s="39"/>
    </row>
    <row r="627">
      <c r="A627" s="37"/>
      <c r="B627" s="38"/>
      <c r="C627" s="39"/>
      <c r="D627" s="39"/>
      <c r="E627" s="39"/>
      <c r="F627" s="39"/>
      <c r="G627" s="39"/>
      <c r="H627" s="39"/>
    </row>
    <row r="628">
      <c r="A628" s="37"/>
      <c r="B628" s="38"/>
      <c r="C628" s="39"/>
      <c r="D628" s="39"/>
      <c r="E628" s="39"/>
      <c r="F628" s="39"/>
      <c r="G628" s="39"/>
      <c r="H628" s="39"/>
    </row>
    <row r="629">
      <c r="A629" s="37"/>
      <c r="B629" s="38"/>
      <c r="C629" s="39"/>
      <c r="D629" s="39"/>
      <c r="E629" s="39"/>
      <c r="F629" s="39"/>
      <c r="G629" s="39"/>
      <c r="H629" s="39"/>
    </row>
    <row r="630">
      <c r="A630" s="37"/>
      <c r="B630" s="38"/>
      <c r="C630" s="39"/>
      <c r="D630" s="39"/>
      <c r="E630" s="39"/>
      <c r="F630" s="39"/>
      <c r="G630" s="39"/>
      <c r="H630" s="39"/>
    </row>
    <row r="631">
      <c r="A631" s="37"/>
      <c r="B631" s="38"/>
      <c r="C631" s="39"/>
      <c r="D631" s="39"/>
      <c r="E631" s="39"/>
      <c r="F631" s="39"/>
      <c r="G631" s="39"/>
      <c r="H631" s="39"/>
    </row>
    <row r="632">
      <c r="A632" s="37"/>
      <c r="B632" s="38"/>
      <c r="C632" s="39"/>
      <c r="D632" s="39"/>
      <c r="E632" s="39"/>
      <c r="F632" s="39"/>
      <c r="G632" s="39"/>
      <c r="H632" s="39"/>
    </row>
    <row r="633">
      <c r="A633" s="37"/>
      <c r="B633" s="38"/>
      <c r="C633" s="39"/>
      <c r="D633" s="39"/>
      <c r="E633" s="39"/>
      <c r="F633" s="39"/>
      <c r="G633" s="39"/>
      <c r="H633" s="39"/>
    </row>
    <row r="634">
      <c r="A634" s="37"/>
      <c r="B634" s="38"/>
      <c r="C634" s="39"/>
      <c r="D634" s="39"/>
      <c r="E634" s="39"/>
      <c r="F634" s="39"/>
      <c r="G634" s="39"/>
      <c r="H634" s="39"/>
    </row>
    <row r="635">
      <c r="A635" s="37"/>
      <c r="B635" s="38"/>
      <c r="C635" s="39"/>
      <c r="D635" s="39"/>
      <c r="E635" s="39"/>
      <c r="F635" s="39"/>
      <c r="G635" s="39"/>
      <c r="H635" s="39"/>
    </row>
    <row r="636">
      <c r="A636" s="37"/>
      <c r="B636" s="38"/>
      <c r="C636" s="39"/>
      <c r="D636" s="39"/>
      <c r="E636" s="39"/>
      <c r="F636" s="39"/>
      <c r="G636" s="39"/>
      <c r="H636" s="39"/>
    </row>
    <row r="637">
      <c r="A637" s="37"/>
      <c r="B637" s="38"/>
      <c r="C637" s="39"/>
      <c r="D637" s="39"/>
      <c r="E637" s="39"/>
      <c r="F637" s="39"/>
      <c r="G637" s="39"/>
      <c r="H637" s="39"/>
    </row>
    <row r="638">
      <c r="A638" s="37"/>
      <c r="B638" s="38"/>
      <c r="C638" s="39"/>
      <c r="D638" s="39"/>
      <c r="E638" s="39"/>
      <c r="F638" s="39"/>
      <c r="G638" s="39"/>
      <c r="H638" s="39"/>
    </row>
    <row r="639">
      <c r="A639" s="37"/>
      <c r="B639" s="38"/>
      <c r="C639" s="39"/>
      <c r="D639" s="39"/>
      <c r="E639" s="39"/>
      <c r="F639" s="39"/>
      <c r="G639" s="39"/>
      <c r="H639" s="39"/>
    </row>
    <row r="640">
      <c r="A640" s="37"/>
      <c r="B640" s="38"/>
      <c r="C640" s="39"/>
      <c r="D640" s="39"/>
      <c r="E640" s="39"/>
      <c r="F640" s="39"/>
      <c r="G640" s="39"/>
      <c r="H640" s="39"/>
    </row>
    <row r="641">
      <c r="A641" s="37"/>
      <c r="B641" s="38"/>
      <c r="C641" s="39"/>
      <c r="D641" s="39"/>
      <c r="E641" s="39"/>
      <c r="F641" s="39"/>
      <c r="G641" s="39"/>
      <c r="H641" s="39"/>
    </row>
    <row r="642">
      <c r="A642" s="37"/>
      <c r="B642" s="38"/>
      <c r="C642" s="39"/>
      <c r="D642" s="39"/>
      <c r="E642" s="39"/>
      <c r="F642" s="39"/>
      <c r="G642" s="39"/>
      <c r="H642" s="39"/>
    </row>
    <row r="643">
      <c r="A643" s="37"/>
      <c r="B643" s="38"/>
      <c r="C643" s="39"/>
      <c r="D643" s="39"/>
      <c r="E643" s="39"/>
      <c r="F643" s="39"/>
      <c r="G643" s="39"/>
      <c r="H643" s="39"/>
    </row>
    <row r="644">
      <c r="A644" s="37"/>
      <c r="B644" s="38"/>
      <c r="C644" s="39"/>
      <c r="D644" s="39"/>
      <c r="E644" s="39"/>
      <c r="F644" s="39"/>
      <c r="G644" s="39"/>
      <c r="H644" s="39"/>
    </row>
    <row r="645">
      <c r="A645" s="37"/>
      <c r="B645" s="38"/>
      <c r="C645" s="39"/>
      <c r="D645" s="39"/>
      <c r="E645" s="39"/>
      <c r="F645" s="39"/>
      <c r="G645" s="39"/>
      <c r="H645" s="39"/>
    </row>
    <row r="646">
      <c r="A646" s="37"/>
      <c r="B646" s="38"/>
      <c r="C646" s="39"/>
      <c r="D646" s="39"/>
      <c r="E646" s="39"/>
      <c r="F646" s="39"/>
      <c r="G646" s="39"/>
      <c r="H646" s="39"/>
    </row>
    <row r="647">
      <c r="A647" s="37"/>
      <c r="B647" s="38"/>
      <c r="C647" s="39"/>
      <c r="D647" s="39"/>
      <c r="E647" s="39"/>
      <c r="F647" s="39"/>
      <c r="G647" s="39"/>
      <c r="H647" s="39"/>
    </row>
    <row r="648">
      <c r="A648" s="37"/>
      <c r="B648" s="38"/>
      <c r="C648" s="39"/>
      <c r="D648" s="39"/>
      <c r="E648" s="39"/>
      <c r="F648" s="39"/>
      <c r="G648" s="39"/>
      <c r="H648" s="39"/>
    </row>
    <row r="649">
      <c r="A649" s="37"/>
      <c r="B649" s="38"/>
      <c r="C649" s="39"/>
      <c r="D649" s="39"/>
      <c r="E649" s="39"/>
      <c r="F649" s="39"/>
      <c r="G649" s="39"/>
      <c r="H649" s="39"/>
    </row>
    <row r="650">
      <c r="A650" s="37"/>
      <c r="B650" s="38"/>
      <c r="C650" s="39"/>
      <c r="D650" s="39"/>
      <c r="E650" s="39"/>
      <c r="F650" s="39"/>
      <c r="G650" s="39"/>
      <c r="H650" s="39"/>
    </row>
    <row r="651">
      <c r="A651" s="37"/>
      <c r="B651" s="38"/>
      <c r="C651" s="39"/>
      <c r="D651" s="39"/>
      <c r="E651" s="39"/>
      <c r="F651" s="39"/>
      <c r="G651" s="39"/>
      <c r="H651" s="39"/>
    </row>
    <row r="652">
      <c r="A652" s="37"/>
      <c r="B652" s="38"/>
      <c r="C652" s="39"/>
      <c r="D652" s="39"/>
      <c r="E652" s="39"/>
      <c r="F652" s="39"/>
      <c r="G652" s="39"/>
      <c r="H652" s="39"/>
    </row>
    <row r="653">
      <c r="A653" s="37"/>
      <c r="B653" s="38"/>
      <c r="C653" s="39"/>
      <c r="D653" s="39"/>
      <c r="E653" s="39"/>
      <c r="F653" s="39"/>
      <c r="G653" s="39"/>
      <c r="H653" s="39"/>
    </row>
    <row r="654">
      <c r="A654" s="37"/>
      <c r="B654" s="38"/>
      <c r="C654" s="39"/>
      <c r="D654" s="39"/>
      <c r="E654" s="39"/>
      <c r="F654" s="39"/>
      <c r="G654" s="39"/>
      <c r="H654" s="39"/>
    </row>
    <row r="655">
      <c r="A655" s="37"/>
      <c r="B655" s="38"/>
      <c r="C655" s="39"/>
      <c r="D655" s="39"/>
      <c r="E655" s="39"/>
      <c r="F655" s="39"/>
      <c r="G655" s="39"/>
      <c r="H655" s="39"/>
    </row>
    <row r="656">
      <c r="A656" s="37"/>
      <c r="B656" s="38"/>
      <c r="C656" s="39"/>
      <c r="D656" s="39"/>
      <c r="E656" s="39"/>
      <c r="F656" s="39"/>
      <c r="G656" s="39"/>
      <c r="H656" s="39"/>
    </row>
    <row r="657">
      <c r="A657" s="37"/>
      <c r="B657" s="38"/>
      <c r="C657" s="39"/>
      <c r="D657" s="39"/>
      <c r="E657" s="39"/>
      <c r="F657" s="39"/>
      <c r="G657" s="39"/>
      <c r="H657" s="39"/>
    </row>
    <row r="658">
      <c r="A658" s="37"/>
      <c r="B658" s="38"/>
      <c r="C658" s="39"/>
      <c r="D658" s="39"/>
      <c r="E658" s="39"/>
      <c r="F658" s="39"/>
      <c r="G658" s="39"/>
      <c r="H658" s="39"/>
    </row>
    <row r="659">
      <c r="A659" s="37"/>
      <c r="B659" s="38"/>
      <c r="C659" s="39"/>
      <c r="D659" s="39"/>
      <c r="E659" s="39"/>
      <c r="F659" s="39"/>
      <c r="G659" s="39"/>
      <c r="H659" s="39"/>
    </row>
    <row r="660">
      <c r="A660" s="37"/>
      <c r="B660" s="38"/>
      <c r="C660" s="39"/>
      <c r="D660" s="39"/>
      <c r="E660" s="39"/>
      <c r="F660" s="39"/>
      <c r="G660" s="39"/>
      <c r="H660" s="39"/>
    </row>
    <row r="661">
      <c r="A661" s="37"/>
      <c r="B661" s="38"/>
      <c r="C661" s="39"/>
      <c r="D661" s="39"/>
      <c r="E661" s="39"/>
      <c r="F661" s="39"/>
      <c r="G661" s="39"/>
      <c r="H661" s="39"/>
    </row>
    <row r="662">
      <c r="A662" s="37"/>
      <c r="B662" s="38"/>
      <c r="C662" s="39"/>
      <c r="D662" s="39"/>
      <c r="E662" s="39"/>
      <c r="F662" s="39"/>
      <c r="G662" s="39"/>
      <c r="H662" s="39"/>
    </row>
    <row r="663">
      <c r="A663" s="37"/>
      <c r="B663" s="38"/>
      <c r="C663" s="39"/>
      <c r="D663" s="39"/>
      <c r="E663" s="39"/>
      <c r="F663" s="39"/>
      <c r="G663" s="39"/>
      <c r="H663" s="39"/>
    </row>
    <row r="664">
      <c r="A664" s="37"/>
      <c r="B664" s="38"/>
      <c r="C664" s="39"/>
      <c r="D664" s="39"/>
      <c r="E664" s="39"/>
      <c r="F664" s="39"/>
      <c r="G664" s="39"/>
      <c r="H664" s="39"/>
    </row>
    <row r="665">
      <c r="A665" s="37"/>
      <c r="B665" s="38"/>
      <c r="C665" s="39"/>
      <c r="D665" s="39"/>
      <c r="E665" s="39"/>
      <c r="F665" s="39"/>
      <c r="G665" s="39"/>
      <c r="H665" s="39"/>
    </row>
    <row r="666">
      <c r="A666" s="37"/>
      <c r="B666" s="38"/>
      <c r="C666" s="39"/>
      <c r="D666" s="39"/>
      <c r="E666" s="39"/>
      <c r="F666" s="39"/>
      <c r="G666" s="39"/>
      <c r="H666" s="39"/>
    </row>
    <row r="667">
      <c r="A667" s="37"/>
      <c r="B667" s="38"/>
      <c r="C667" s="39"/>
      <c r="D667" s="39"/>
      <c r="E667" s="39"/>
      <c r="F667" s="39"/>
      <c r="G667" s="39"/>
      <c r="H667" s="39"/>
    </row>
    <row r="668">
      <c r="A668" s="37"/>
      <c r="B668" s="38"/>
      <c r="C668" s="39"/>
      <c r="D668" s="39"/>
      <c r="E668" s="39"/>
      <c r="F668" s="39"/>
      <c r="G668" s="39"/>
      <c r="H668" s="39"/>
    </row>
    <row r="669">
      <c r="A669" s="37"/>
      <c r="B669" s="38"/>
      <c r="C669" s="39"/>
      <c r="D669" s="39"/>
      <c r="E669" s="39"/>
      <c r="F669" s="39"/>
      <c r="G669" s="39"/>
      <c r="H669" s="39"/>
    </row>
    <row r="670">
      <c r="A670" s="37"/>
      <c r="B670" s="38"/>
      <c r="C670" s="39"/>
      <c r="D670" s="39"/>
      <c r="E670" s="39"/>
      <c r="F670" s="39"/>
      <c r="G670" s="39"/>
      <c r="H670" s="39"/>
    </row>
    <row r="671">
      <c r="A671" s="37"/>
      <c r="B671" s="38"/>
      <c r="C671" s="39"/>
      <c r="D671" s="39"/>
      <c r="E671" s="39"/>
      <c r="F671" s="39"/>
      <c r="G671" s="39"/>
      <c r="H671" s="39"/>
    </row>
    <row r="672">
      <c r="A672" s="37"/>
      <c r="B672" s="38"/>
      <c r="C672" s="39"/>
      <c r="D672" s="39"/>
      <c r="E672" s="39"/>
      <c r="F672" s="39"/>
      <c r="G672" s="39"/>
      <c r="H672" s="39"/>
    </row>
    <row r="673">
      <c r="A673" s="37"/>
      <c r="B673" s="38"/>
      <c r="C673" s="39"/>
      <c r="D673" s="39"/>
      <c r="E673" s="39"/>
      <c r="F673" s="39"/>
      <c r="G673" s="39"/>
      <c r="H673" s="39"/>
    </row>
    <row r="674">
      <c r="A674" s="37"/>
      <c r="B674" s="38"/>
      <c r="C674" s="39"/>
      <c r="D674" s="39"/>
      <c r="E674" s="39"/>
      <c r="F674" s="39"/>
      <c r="G674" s="39"/>
      <c r="H674" s="39"/>
    </row>
    <row r="675">
      <c r="A675" s="37"/>
      <c r="B675" s="38"/>
      <c r="C675" s="39"/>
      <c r="D675" s="39"/>
      <c r="E675" s="39"/>
      <c r="F675" s="39"/>
      <c r="G675" s="39"/>
      <c r="H675" s="39"/>
    </row>
    <row r="676">
      <c r="A676" s="37"/>
      <c r="B676" s="38"/>
      <c r="C676" s="39"/>
      <c r="D676" s="39"/>
      <c r="E676" s="39"/>
      <c r="F676" s="39"/>
      <c r="G676" s="39"/>
      <c r="H676" s="39"/>
    </row>
    <row r="677">
      <c r="A677" s="37"/>
      <c r="B677" s="38"/>
      <c r="C677" s="39"/>
      <c r="D677" s="39"/>
      <c r="E677" s="39"/>
      <c r="F677" s="39"/>
      <c r="G677" s="39"/>
      <c r="H677" s="39"/>
    </row>
    <row r="678">
      <c r="A678" s="37"/>
      <c r="B678" s="38"/>
      <c r="C678" s="39"/>
      <c r="D678" s="39"/>
      <c r="E678" s="39"/>
      <c r="F678" s="39"/>
      <c r="G678" s="39"/>
      <c r="H678" s="39"/>
    </row>
    <row r="679">
      <c r="A679" s="37"/>
      <c r="B679" s="38"/>
      <c r="C679" s="39"/>
      <c r="D679" s="39"/>
      <c r="E679" s="39"/>
      <c r="F679" s="39"/>
      <c r="G679" s="39"/>
      <c r="H679" s="39"/>
    </row>
    <row r="680">
      <c r="A680" s="37"/>
      <c r="B680" s="38"/>
      <c r="C680" s="39"/>
      <c r="D680" s="39"/>
      <c r="E680" s="39"/>
      <c r="F680" s="39"/>
      <c r="G680" s="39"/>
      <c r="H680" s="39"/>
    </row>
    <row r="681">
      <c r="A681" s="37"/>
      <c r="B681" s="38"/>
      <c r="C681" s="39"/>
      <c r="D681" s="39"/>
      <c r="E681" s="39"/>
      <c r="F681" s="39"/>
      <c r="G681" s="39"/>
      <c r="H681" s="39"/>
    </row>
    <row r="682">
      <c r="A682" s="37"/>
      <c r="B682" s="38"/>
      <c r="C682" s="39"/>
      <c r="D682" s="39"/>
      <c r="E682" s="39"/>
      <c r="F682" s="39"/>
      <c r="G682" s="39"/>
      <c r="H682" s="39"/>
    </row>
    <row r="683">
      <c r="A683" s="37"/>
      <c r="B683" s="38"/>
      <c r="C683" s="39"/>
      <c r="D683" s="39"/>
      <c r="E683" s="39"/>
      <c r="F683" s="39"/>
      <c r="G683" s="39"/>
      <c r="H683" s="39"/>
    </row>
    <row r="684">
      <c r="A684" s="37"/>
      <c r="B684" s="38"/>
      <c r="C684" s="39"/>
      <c r="D684" s="39"/>
      <c r="E684" s="39"/>
      <c r="F684" s="39"/>
      <c r="G684" s="39"/>
      <c r="H684" s="39"/>
    </row>
    <row r="685">
      <c r="A685" s="37"/>
      <c r="B685" s="38"/>
      <c r="C685" s="39"/>
      <c r="D685" s="39"/>
      <c r="E685" s="39"/>
      <c r="F685" s="39"/>
      <c r="G685" s="39"/>
      <c r="H685" s="39"/>
    </row>
    <row r="686">
      <c r="A686" s="37"/>
      <c r="B686" s="38"/>
      <c r="C686" s="39"/>
      <c r="D686" s="39"/>
      <c r="E686" s="39"/>
      <c r="F686" s="39"/>
      <c r="G686" s="39"/>
      <c r="H686" s="39"/>
    </row>
    <row r="687">
      <c r="A687" s="37"/>
      <c r="B687" s="38"/>
      <c r="C687" s="39"/>
      <c r="D687" s="39"/>
      <c r="E687" s="39"/>
      <c r="F687" s="39"/>
      <c r="G687" s="39"/>
      <c r="H687" s="39"/>
    </row>
    <row r="688">
      <c r="A688" s="37"/>
      <c r="B688" s="38"/>
      <c r="C688" s="39"/>
      <c r="D688" s="39"/>
      <c r="E688" s="39"/>
      <c r="F688" s="39"/>
      <c r="G688" s="39"/>
      <c r="H688" s="39"/>
    </row>
    <row r="689">
      <c r="A689" s="37"/>
      <c r="B689" s="38"/>
      <c r="C689" s="39"/>
      <c r="D689" s="39"/>
      <c r="E689" s="39"/>
      <c r="F689" s="39"/>
      <c r="G689" s="39"/>
      <c r="H689" s="39"/>
    </row>
    <row r="690">
      <c r="A690" s="37"/>
      <c r="B690" s="38"/>
      <c r="C690" s="39"/>
      <c r="D690" s="39"/>
      <c r="E690" s="39"/>
      <c r="F690" s="39"/>
      <c r="G690" s="39"/>
      <c r="H690" s="39"/>
    </row>
    <row r="691">
      <c r="A691" s="37"/>
      <c r="B691" s="38"/>
      <c r="C691" s="39"/>
      <c r="D691" s="39"/>
      <c r="E691" s="39"/>
      <c r="F691" s="39"/>
      <c r="G691" s="39"/>
      <c r="H691" s="39"/>
    </row>
    <row r="692">
      <c r="A692" s="37"/>
      <c r="B692" s="38"/>
      <c r="C692" s="39"/>
      <c r="D692" s="39"/>
      <c r="E692" s="39"/>
      <c r="F692" s="39"/>
      <c r="G692" s="39"/>
      <c r="H692" s="39"/>
    </row>
    <row r="693">
      <c r="A693" s="37"/>
      <c r="B693" s="38"/>
      <c r="C693" s="39"/>
      <c r="D693" s="39"/>
      <c r="E693" s="39"/>
      <c r="F693" s="39"/>
      <c r="G693" s="39"/>
      <c r="H693" s="39"/>
    </row>
    <row r="694">
      <c r="A694" s="37"/>
      <c r="B694" s="38"/>
      <c r="C694" s="39"/>
      <c r="D694" s="39"/>
      <c r="E694" s="39"/>
      <c r="F694" s="39"/>
      <c r="G694" s="39"/>
      <c r="H694" s="39"/>
    </row>
    <row r="695">
      <c r="A695" s="37"/>
      <c r="B695" s="38"/>
      <c r="C695" s="39"/>
      <c r="D695" s="39"/>
      <c r="E695" s="39"/>
      <c r="F695" s="39"/>
      <c r="G695" s="39"/>
      <c r="H695" s="39"/>
    </row>
    <row r="696">
      <c r="A696" s="37"/>
      <c r="B696" s="38"/>
      <c r="C696" s="39"/>
      <c r="D696" s="39"/>
      <c r="E696" s="39"/>
      <c r="F696" s="39"/>
      <c r="G696" s="39"/>
      <c r="H696" s="39"/>
    </row>
    <row r="697">
      <c r="A697" s="37"/>
      <c r="B697" s="38"/>
      <c r="C697" s="39"/>
      <c r="D697" s="39"/>
      <c r="E697" s="39"/>
      <c r="F697" s="39"/>
      <c r="G697" s="39"/>
      <c r="H697" s="39"/>
    </row>
    <row r="698">
      <c r="A698" s="37"/>
      <c r="B698" s="38"/>
      <c r="C698" s="39"/>
      <c r="D698" s="39"/>
      <c r="E698" s="39"/>
      <c r="F698" s="39"/>
      <c r="G698" s="39"/>
      <c r="H698" s="39"/>
    </row>
    <row r="699">
      <c r="A699" s="37"/>
      <c r="B699" s="38"/>
      <c r="C699" s="39"/>
      <c r="D699" s="39"/>
      <c r="E699" s="39"/>
      <c r="F699" s="39"/>
      <c r="G699" s="39"/>
      <c r="H699" s="39"/>
    </row>
    <row r="700">
      <c r="A700" s="37"/>
      <c r="B700" s="38"/>
      <c r="C700" s="39"/>
      <c r="D700" s="39"/>
      <c r="E700" s="39"/>
      <c r="F700" s="39"/>
      <c r="G700" s="39"/>
      <c r="H700" s="39"/>
    </row>
    <row r="701">
      <c r="A701" s="37"/>
      <c r="B701" s="38"/>
      <c r="C701" s="39"/>
      <c r="D701" s="39"/>
      <c r="E701" s="39"/>
      <c r="F701" s="39"/>
      <c r="G701" s="39"/>
      <c r="H701" s="39"/>
    </row>
    <row r="702">
      <c r="A702" s="37"/>
      <c r="B702" s="38"/>
      <c r="C702" s="39"/>
      <c r="D702" s="39"/>
      <c r="E702" s="39"/>
      <c r="F702" s="39"/>
      <c r="G702" s="39"/>
      <c r="H702" s="39"/>
    </row>
    <row r="703">
      <c r="A703" s="37"/>
      <c r="B703" s="38"/>
      <c r="C703" s="39"/>
      <c r="D703" s="39"/>
      <c r="E703" s="39"/>
      <c r="F703" s="39"/>
      <c r="G703" s="39"/>
      <c r="H703" s="39"/>
    </row>
    <row r="704">
      <c r="A704" s="37"/>
      <c r="B704" s="38"/>
      <c r="C704" s="39"/>
      <c r="D704" s="39"/>
      <c r="E704" s="39"/>
      <c r="F704" s="39"/>
      <c r="G704" s="39"/>
      <c r="H704" s="39"/>
    </row>
    <row r="705">
      <c r="A705" s="37"/>
      <c r="B705" s="38"/>
      <c r="C705" s="39"/>
      <c r="D705" s="39"/>
      <c r="E705" s="39"/>
      <c r="F705" s="39"/>
      <c r="G705" s="39"/>
      <c r="H705" s="39"/>
    </row>
    <row r="706">
      <c r="A706" s="37"/>
      <c r="B706" s="38"/>
      <c r="C706" s="39"/>
      <c r="D706" s="39"/>
      <c r="E706" s="39"/>
      <c r="F706" s="39"/>
      <c r="G706" s="39"/>
      <c r="H706" s="39"/>
    </row>
    <row r="707">
      <c r="A707" s="37"/>
      <c r="B707" s="38"/>
      <c r="C707" s="39"/>
      <c r="D707" s="39"/>
      <c r="E707" s="39"/>
      <c r="F707" s="39"/>
      <c r="G707" s="39"/>
      <c r="H707" s="39"/>
    </row>
    <row r="708">
      <c r="A708" s="37"/>
      <c r="B708" s="38"/>
      <c r="C708" s="39"/>
      <c r="D708" s="39"/>
      <c r="E708" s="39"/>
      <c r="F708" s="39"/>
      <c r="G708" s="39"/>
      <c r="H708" s="39"/>
    </row>
    <row r="709">
      <c r="A709" s="37"/>
      <c r="B709" s="38"/>
      <c r="C709" s="39"/>
      <c r="D709" s="39"/>
      <c r="E709" s="39"/>
      <c r="F709" s="39"/>
      <c r="G709" s="39"/>
      <c r="H709" s="39"/>
    </row>
    <row r="710">
      <c r="A710" s="37"/>
      <c r="B710" s="38"/>
      <c r="C710" s="39"/>
      <c r="D710" s="39"/>
      <c r="E710" s="39"/>
      <c r="F710" s="39"/>
      <c r="G710" s="39"/>
      <c r="H710" s="39"/>
    </row>
    <row r="711">
      <c r="A711" s="37"/>
      <c r="B711" s="38"/>
      <c r="C711" s="39"/>
      <c r="D711" s="39"/>
      <c r="E711" s="39"/>
      <c r="F711" s="39"/>
      <c r="G711" s="39"/>
      <c r="H711" s="39"/>
    </row>
    <row r="712">
      <c r="A712" s="37"/>
      <c r="B712" s="38"/>
      <c r="C712" s="39"/>
      <c r="D712" s="39"/>
      <c r="E712" s="39"/>
      <c r="F712" s="39"/>
      <c r="G712" s="39"/>
      <c r="H712" s="39"/>
    </row>
    <row r="713">
      <c r="A713" s="37"/>
      <c r="B713" s="38"/>
      <c r="C713" s="39"/>
      <c r="D713" s="39"/>
      <c r="E713" s="39"/>
      <c r="F713" s="39"/>
      <c r="G713" s="39"/>
      <c r="H713" s="39"/>
    </row>
    <row r="714">
      <c r="A714" s="37"/>
      <c r="B714" s="38"/>
      <c r="C714" s="39"/>
      <c r="D714" s="39"/>
      <c r="E714" s="39"/>
      <c r="F714" s="39"/>
      <c r="G714" s="39"/>
      <c r="H714" s="39"/>
    </row>
    <row r="715">
      <c r="A715" s="37"/>
      <c r="B715" s="38"/>
      <c r="C715" s="39"/>
      <c r="D715" s="39"/>
      <c r="E715" s="39"/>
      <c r="F715" s="39"/>
      <c r="G715" s="39"/>
      <c r="H715" s="39"/>
    </row>
    <row r="716">
      <c r="A716" s="37"/>
      <c r="B716" s="38"/>
      <c r="C716" s="39"/>
      <c r="D716" s="39"/>
      <c r="E716" s="39"/>
      <c r="F716" s="39"/>
      <c r="G716" s="39"/>
      <c r="H716" s="39"/>
    </row>
    <row r="717">
      <c r="A717" s="37"/>
      <c r="B717" s="38"/>
      <c r="C717" s="39"/>
      <c r="D717" s="39"/>
      <c r="E717" s="39"/>
      <c r="F717" s="39"/>
      <c r="G717" s="39"/>
      <c r="H717" s="39"/>
    </row>
    <row r="718">
      <c r="A718" s="37"/>
      <c r="B718" s="38"/>
      <c r="C718" s="39"/>
      <c r="D718" s="39"/>
      <c r="E718" s="39"/>
      <c r="F718" s="39"/>
      <c r="G718" s="39"/>
      <c r="H718" s="39"/>
    </row>
    <row r="719">
      <c r="A719" s="37"/>
      <c r="B719" s="38"/>
      <c r="C719" s="39"/>
      <c r="D719" s="39"/>
      <c r="E719" s="39"/>
      <c r="F719" s="39"/>
      <c r="G719" s="39"/>
      <c r="H719" s="39"/>
    </row>
    <row r="720">
      <c r="A720" s="37"/>
      <c r="B720" s="38"/>
      <c r="C720" s="39"/>
      <c r="D720" s="39"/>
      <c r="E720" s="39"/>
      <c r="F720" s="39"/>
      <c r="G720" s="39"/>
      <c r="H720" s="39"/>
    </row>
    <row r="721">
      <c r="A721" s="37"/>
      <c r="B721" s="38"/>
      <c r="C721" s="39"/>
      <c r="D721" s="39"/>
      <c r="E721" s="39"/>
      <c r="F721" s="39"/>
      <c r="G721" s="39"/>
      <c r="H721" s="39"/>
    </row>
    <row r="722">
      <c r="A722" s="37"/>
      <c r="B722" s="38"/>
      <c r="C722" s="39"/>
      <c r="D722" s="39"/>
      <c r="E722" s="39"/>
      <c r="F722" s="39"/>
      <c r="G722" s="39"/>
      <c r="H722" s="39"/>
    </row>
    <row r="723">
      <c r="A723" s="37"/>
      <c r="B723" s="38"/>
      <c r="C723" s="39"/>
      <c r="D723" s="39"/>
      <c r="E723" s="39"/>
      <c r="F723" s="39"/>
      <c r="G723" s="39"/>
      <c r="H723" s="39"/>
    </row>
    <row r="724">
      <c r="A724" s="37"/>
      <c r="B724" s="38"/>
      <c r="C724" s="39"/>
      <c r="D724" s="39"/>
      <c r="E724" s="39"/>
      <c r="F724" s="39"/>
      <c r="G724" s="39"/>
      <c r="H724" s="39"/>
    </row>
    <row r="725">
      <c r="A725" s="37"/>
      <c r="B725" s="38"/>
      <c r="C725" s="39"/>
      <c r="D725" s="39"/>
      <c r="E725" s="39"/>
      <c r="F725" s="39"/>
      <c r="G725" s="39"/>
      <c r="H725" s="39"/>
    </row>
    <row r="726">
      <c r="A726" s="37"/>
      <c r="B726" s="38"/>
      <c r="C726" s="39"/>
      <c r="D726" s="39"/>
      <c r="E726" s="39"/>
      <c r="F726" s="39"/>
      <c r="G726" s="39"/>
      <c r="H726" s="39"/>
    </row>
    <row r="727">
      <c r="A727" s="37"/>
      <c r="B727" s="38"/>
      <c r="C727" s="39"/>
      <c r="D727" s="39"/>
      <c r="E727" s="39"/>
      <c r="F727" s="39"/>
      <c r="G727" s="39"/>
      <c r="H727" s="39"/>
    </row>
    <row r="728">
      <c r="A728" s="37"/>
      <c r="B728" s="38"/>
      <c r="C728" s="39"/>
      <c r="D728" s="39"/>
      <c r="E728" s="39"/>
      <c r="F728" s="39"/>
      <c r="G728" s="39"/>
      <c r="H728" s="39"/>
    </row>
    <row r="729">
      <c r="A729" s="37"/>
      <c r="B729" s="38"/>
      <c r="C729" s="39"/>
      <c r="D729" s="39"/>
      <c r="E729" s="39"/>
      <c r="F729" s="39"/>
      <c r="G729" s="39"/>
      <c r="H729" s="39"/>
    </row>
    <row r="730">
      <c r="A730" s="37"/>
      <c r="B730" s="38"/>
      <c r="C730" s="39"/>
      <c r="D730" s="39"/>
      <c r="E730" s="39"/>
      <c r="F730" s="39"/>
      <c r="G730" s="39"/>
      <c r="H730" s="39"/>
    </row>
    <row r="731">
      <c r="A731" s="37"/>
      <c r="B731" s="38"/>
      <c r="C731" s="39"/>
      <c r="D731" s="39"/>
      <c r="E731" s="39"/>
      <c r="F731" s="39"/>
      <c r="G731" s="39"/>
      <c r="H731" s="39"/>
    </row>
    <row r="732">
      <c r="A732" s="37"/>
      <c r="B732" s="38"/>
      <c r="C732" s="39"/>
      <c r="D732" s="39"/>
      <c r="E732" s="39"/>
      <c r="F732" s="39"/>
      <c r="G732" s="39"/>
      <c r="H732" s="39"/>
    </row>
    <row r="733">
      <c r="A733" s="37"/>
      <c r="B733" s="38"/>
      <c r="C733" s="39"/>
      <c r="D733" s="39"/>
      <c r="E733" s="39"/>
      <c r="F733" s="39"/>
      <c r="G733" s="39"/>
      <c r="H733" s="39"/>
    </row>
    <row r="734">
      <c r="A734" s="37"/>
      <c r="B734" s="38"/>
      <c r="C734" s="39"/>
      <c r="D734" s="39"/>
      <c r="E734" s="39"/>
      <c r="F734" s="39"/>
      <c r="G734" s="39"/>
      <c r="H734" s="39"/>
    </row>
    <row r="735">
      <c r="A735" s="37"/>
      <c r="B735" s="38"/>
      <c r="C735" s="39"/>
      <c r="D735" s="39"/>
      <c r="E735" s="39"/>
      <c r="F735" s="39"/>
      <c r="G735" s="39"/>
      <c r="H735" s="39"/>
    </row>
    <row r="736">
      <c r="A736" s="37"/>
      <c r="B736" s="38"/>
      <c r="C736" s="39"/>
      <c r="D736" s="39"/>
      <c r="E736" s="39"/>
      <c r="F736" s="39"/>
      <c r="G736" s="39"/>
      <c r="H736" s="39"/>
    </row>
    <row r="737">
      <c r="A737" s="37"/>
      <c r="B737" s="38"/>
      <c r="C737" s="39"/>
      <c r="D737" s="39"/>
      <c r="E737" s="39"/>
      <c r="F737" s="39"/>
      <c r="G737" s="39"/>
      <c r="H737" s="39"/>
    </row>
    <row r="738">
      <c r="A738" s="37"/>
      <c r="B738" s="38"/>
      <c r="C738" s="39"/>
      <c r="D738" s="39"/>
      <c r="E738" s="39"/>
      <c r="F738" s="39"/>
      <c r="G738" s="39"/>
      <c r="H738" s="39"/>
    </row>
    <row r="739">
      <c r="A739" s="37"/>
      <c r="B739" s="38"/>
      <c r="C739" s="39"/>
      <c r="D739" s="39"/>
      <c r="E739" s="39"/>
      <c r="F739" s="39"/>
      <c r="G739" s="39"/>
      <c r="H739" s="39"/>
    </row>
    <row r="740">
      <c r="A740" s="37"/>
      <c r="B740" s="38"/>
      <c r="C740" s="39"/>
      <c r="D740" s="39"/>
      <c r="E740" s="39"/>
      <c r="F740" s="39"/>
      <c r="G740" s="39"/>
      <c r="H740" s="39"/>
    </row>
    <row r="741">
      <c r="A741" s="37"/>
      <c r="B741" s="38"/>
      <c r="C741" s="39"/>
      <c r="D741" s="39"/>
      <c r="E741" s="39"/>
      <c r="F741" s="39"/>
      <c r="G741" s="39"/>
      <c r="H741" s="39"/>
    </row>
    <row r="742">
      <c r="A742" s="37"/>
      <c r="B742" s="38"/>
      <c r="C742" s="39"/>
      <c r="D742" s="39"/>
      <c r="E742" s="39"/>
      <c r="F742" s="39"/>
      <c r="G742" s="39"/>
      <c r="H742" s="39"/>
    </row>
    <row r="743">
      <c r="A743" s="37"/>
      <c r="B743" s="38"/>
      <c r="C743" s="39"/>
      <c r="D743" s="39"/>
      <c r="E743" s="39"/>
      <c r="F743" s="39"/>
      <c r="G743" s="39"/>
      <c r="H743" s="39"/>
    </row>
    <row r="744">
      <c r="A744" s="37"/>
      <c r="B744" s="38"/>
      <c r="C744" s="39"/>
      <c r="D744" s="39"/>
      <c r="E744" s="39"/>
      <c r="F744" s="39"/>
      <c r="G744" s="39"/>
      <c r="H744" s="39"/>
    </row>
    <row r="745">
      <c r="A745" s="37"/>
      <c r="B745" s="38"/>
      <c r="C745" s="39"/>
      <c r="D745" s="39"/>
      <c r="E745" s="39"/>
      <c r="F745" s="39"/>
      <c r="G745" s="39"/>
      <c r="H745" s="39"/>
    </row>
    <row r="746">
      <c r="A746" s="37"/>
      <c r="B746" s="38"/>
      <c r="C746" s="39"/>
      <c r="D746" s="39"/>
      <c r="E746" s="39"/>
      <c r="F746" s="39"/>
      <c r="G746" s="39"/>
      <c r="H746" s="39"/>
    </row>
    <row r="747">
      <c r="A747" s="37"/>
      <c r="B747" s="38"/>
      <c r="C747" s="39"/>
      <c r="D747" s="39"/>
      <c r="E747" s="39"/>
      <c r="F747" s="39"/>
      <c r="G747" s="39"/>
      <c r="H747" s="39"/>
    </row>
    <row r="748">
      <c r="A748" s="37"/>
      <c r="B748" s="38"/>
      <c r="C748" s="39"/>
      <c r="D748" s="39"/>
      <c r="E748" s="39"/>
      <c r="F748" s="39"/>
      <c r="G748" s="39"/>
      <c r="H748" s="39"/>
    </row>
    <row r="749">
      <c r="A749" s="37"/>
      <c r="B749" s="38"/>
      <c r="C749" s="39"/>
      <c r="D749" s="39"/>
      <c r="E749" s="39"/>
      <c r="F749" s="39"/>
      <c r="G749" s="39"/>
      <c r="H749" s="39"/>
    </row>
    <row r="750">
      <c r="A750" s="37"/>
      <c r="B750" s="38"/>
      <c r="C750" s="39"/>
      <c r="D750" s="39"/>
      <c r="E750" s="39"/>
      <c r="F750" s="39"/>
      <c r="G750" s="39"/>
      <c r="H750" s="39"/>
    </row>
    <row r="751">
      <c r="A751" s="37"/>
      <c r="B751" s="38"/>
      <c r="C751" s="39"/>
      <c r="D751" s="39"/>
      <c r="E751" s="39"/>
      <c r="F751" s="39"/>
      <c r="G751" s="39"/>
      <c r="H751" s="39"/>
    </row>
    <row r="752">
      <c r="A752" s="37"/>
      <c r="B752" s="38"/>
      <c r="C752" s="39"/>
      <c r="D752" s="39"/>
      <c r="E752" s="39"/>
      <c r="F752" s="39"/>
      <c r="G752" s="39"/>
      <c r="H752" s="39"/>
    </row>
    <row r="753">
      <c r="A753" s="37"/>
      <c r="B753" s="38"/>
      <c r="C753" s="39"/>
      <c r="D753" s="39"/>
      <c r="E753" s="39"/>
      <c r="F753" s="39"/>
      <c r="G753" s="39"/>
      <c r="H753" s="39"/>
    </row>
    <row r="754">
      <c r="A754" s="37"/>
      <c r="B754" s="38"/>
      <c r="C754" s="39"/>
      <c r="D754" s="39"/>
      <c r="E754" s="39"/>
      <c r="F754" s="39"/>
      <c r="G754" s="39"/>
      <c r="H754" s="39"/>
    </row>
    <row r="755">
      <c r="A755" s="37"/>
      <c r="B755" s="38"/>
      <c r="C755" s="39"/>
      <c r="D755" s="39"/>
      <c r="E755" s="39"/>
      <c r="F755" s="39"/>
      <c r="G755" s="39"/>
      <c r="H755" s="39"/>
    </row>
    <row r="756">
      <c r="A756" s="37"/>
      <c r="B756" s="38"/>
      <c r="C756" s="39"/>
      <c r="D756" s="39"/>
      <c r="E756" s="39"/>
      <c r="F756" s="39"/>
      <c r="G756" s="39"/>
      <c r="H756" s="39"/>
    </row>
    <row r="757">
      <c r="A757" s="37"/>
      <c r="B757" s="38"/>
      <c r="C757" s="39"/>
      <c r="D757" s="39"/>
      <c r="E757" s="39"/>
      <c r="F757" s="39"/>
      <c r="G757" s="39"/>
      <c r="H757" s="39"/>
    </row>
    <row r="758">
      <c r="A758" s="37"/>
      <c r="B758" s="38"/>
      <c r="C758" s="39"/>
      <c r="D758" s="39"/>
      <c r="E758" s="39"/>
      <c r="F758" s="39"/>
      <c r="G758" s="39"/>
      <c r="H758" s="39"/>
    </row>
    <row r="759">
      <c r="A759" s="37"/>
      <c r="B759" s="38"/>
      <c r="C759" s="39"/>
      <c r="D759" s="39"/>
      <c r="E759" s="39"/>
      <c r="F759" s="39"/>
      <c r="G759" s="39"/>
      <c r="H759" s="39"/>
    </row>
    <row r="760">
      <c r="A760" s="37"/>
      <c r="B760" s="38"/>
      <c r="C760" s="39"/>
      <c r="D760" s="39"/>
      <c r="E760" s="39"/>
      <c r="F760" s="39"/>
      <c r="G760" s="39"/>
      <c r="H760" s="39"/>
    </row>
    <row r="761">
      <c r="A761" s="37"/>
      <c r="B761" s="38"/>
      <c r="C761" s="39"/>
      <c r="D761" s="39"/>
      <c r="E761" s="39"/>
      <c r="F761" s="39"/>
      <c r="G761" s="39"/>
      <c r="H761" s="39"/>
    </row>
    <row r="762">
      <c r="A762" s="37"/>
      <c r="B762" s="38"/>
      <c r="C762" s="39"/>
      <c r="D762" s="39"/>
      <c r="E762" s="39"/>
      <c r="F762" s="39"/>
      <c r="G762" s="39"/>
      <c r="H762" s="39"/>
    </row>
    <row r="763">
      <c r="A763" s="37"/>
      <c r="B763" s="38"/>
      <c r="C763" s="39"/>
      <c r="D763" s="39"/>
      <c r="E763" s="39"/>
      <c r="F763" s="39"/>
      <c r="G763" s="39"/>
      <c r="H763" s="39"/>
    </row>
    <row r="764">
      <c r="A764" s="37"/>
      <c r="B764" s="38"/>
      <c r="C764" s="39"/>
      <c r="D764" s="39"/>
      <c r="E764" s="39"/>
      <c r="F764" s="39"/>
      <c r="G764" s="39"/>
      <c r="H764" s="39"/>
    </row>
    <row r="765">
      <c r="A765" s="37"/>
      <c r="B765" s="38"/>
      <c r="C765" s="39"/>
      <c r="D765" s="39"/>
      <c r="E765" s="39"/>
      <c r="F765" s="39"/>
      <c r="G765" s="39"/>
      <c r="H765" s="39"/>
    </row>
    <row r="766">
      <c r="A766" s="37"/>
      <c r="B766" s="38"/>
      <c r="C766" s="39"/>
      <c r="D766" s="39"/>
      <c r="E766" s="39"/>
      <c r="F766" s="39"/>
      <c r="G766" s="39"/>
      <c r="H766" s="39"/>
    </row>
    <row r="767">
      <c r="A767" s="37"/>
      <c r="B767" s="38"/>
      <c r="C767" s="39"/>
      <c r="D767" s="39"/>
      <c r="E767" s="39"/>
      <c r="F767" s="39"/>
      <c r="G767" s="39"/>
      <c r="H767" s="39"/>
    </row>
    <row r="768">
      <c r="A768" s="37"/>
      <c r="B768" s="38"/>
      <c r="C768" s="39"/>
      <c r="D768" s="39"/>
      <c r="E768" s="39"/>
      <c r="F768" s="39"/>
      <c r="G768" s="39"/>
      <c r="H768" s="39"/>
    </row>
    <row r="769">
      <c r="A769" s="37"/>
      <c r="B769" s="38"/>
      <c r="C769" s="39"/>
      <c r="D769" s="39"/>
      <c r="E769" s="39"/>
      <c r="F769" s="39"/>
      <c r="G769" s="39"/>
      <c r="H769" s="39"/>
    </row>
    <row r="770">
      <c r="A770" s="37"/>
      <c r="B770" s="38"/>
      <c r="C770" s="39"/>
      <c r="D770" s="39"/>
      <c r="E770" s="39"/>
      <c r="F770" s="39"/>
      <c r="G770" s="39"/>
      <c r="H770" s="39"/>
    </row>
    <row r="771">
      <c r="A771" s="37"/>
      <c r="B771" s="38"/>
      <c r="C771" s="39"/>
      <c r="D771" s="39"/>
      <c r="E771" s="39"/>
      <c r="F771" s="39"/>
      <c r="G771" s="39"/>
      <c r="H771" s="39"/>
    </row>
    <row r="772">
      <c r="A772" s="37"/>
      <c r="B772" s="38"/>
      <c r="C772" s="39"/>
      <c r="D772" s="39"/>
      <c r="E772" s="39"/>
      <c r="F772" s="39"/>
      <c r="G772" s="39"/>
      <c r="H772" s="39"/>
    </row>
    <row r="773">
      <c r="A773" s="37"/>
      <c r="B773" s="38"/>
      <c r="C773" s="39"/>
      <c r="D773" s="39"/>
      <c r="E773" s="39"/>
      <c r="F773" s="39"/>
      <c r="G773" s="39"/>
      <c r="H773" s="39"/>
    </row>
    <row r="774">
      <c r="A774" s="37"/>
      <c r="B774" s="38"/>
      <c r="C774" s="39"/>
      <c r="D774" s="39"/>
      <c r="E774" s="39"/>
      <c r="F774" s="39"/>
      <c r="G774" s="39"/>
      <c r="H774" s="39"/>
    </row>
    <row r="775">
      <c r="A775" s="37"/>
      <c r="B775" s="38"/>
      <c r="C775" s="39"/>
      <c r="D775" s="39"/>
      <c r="E775" s="39"/>
      <c r="F775" s="39"/>
      <c r="G775" s="39"/>
      <c r="H775" s="39"/>
    </row>
    <row r="776">
      <c r="A776" s="37"/>
      <c r="B776" s="38"/>
      <c r="C776" s="39"/>
      <c r="D776" s="39"/>
      <c r="E776" s="39"/>
      <c r="F776" s="39"/>
      <c r="G776" s="39"/>
      <c r="H776" s="39"/>
    </row>
    <row r="777">
      <c r="A777" s="37"/>
      <c r="B777" s="38"/>
      <c r="C777" s="39"/>
      <c r="D777" s="39"/>
      <c r="E777" s="39"/>
      <c r="F777" s="39"/>
      <c r="G777" s="39"/>
      <c r="H777" s="39"/>
    </row>
    <row r="778">
      <c r="A778" s="37"/>
      <c r="B778" s="38"/>
      <c r="C778" s="39"/>
      <c r="D778" s="39"/>
      <c r="E778" s="39"/>
      <c r="F778" s="39"/>
      <c r="G778" s="39"/>
      <c r="H778" s="39"/>
    </row>
    <row r="779">
      <c r="A779" s="37"/>
      <c r="B779" s="38"/>
      <c r="C779" s="39"/>
      <c r="D779" s="39"/>
      <c r="E779" s="39"/>
      <c r="F779" s="39"/>
      <c r="G779" s="39"/>
      <c r="H779" s="39"/>
    </row>
    <row r="780">
      <c r="A780" s="37"/>
      <c r="B780" s="38"/>
      <c r="C780" s="39"/>
      <c r="D780" s="39"/>
      <c r="E780" s="39"/>
      <c r="F780" s="39"/>
      <c r="G780" s="39"/>
      <c r="H780" s="39"/>
    </row>
    <row r="781">
      <c r="A781" s="37"/>
      <c r="B781" s="38"/>
      <c r="C781" s="39"/>
      <c r="D781" s="39"/>
      <c r="E781" s="39"/>
      <c r="F781" s="39"/>
      <c r="G781" s="39"/>
      <c r="H781" s="39"/>
    </row>
    <row r="782">
      <c r="A782" s="37"/>
      <c r="B782" s="38"/>
      <c r="C782" s="39"/>
      <c r="D782" s="39"/>
      <c r="E782" s="39"/>
      <c r="F782" s="39"/>
      <c r="G782" s="39"/>
      <c r="H782" s="39"/>
    </row>
    <row r="783">
      <c r="A783" s="37"/>
      <c r="B783" s="38"/>
      <c r="C783" s="39"/>
      <c r="D783" s="39"/>
      <c r="E783" s="39"/>
      <c r="F783" s="39"/>
      <c r="G783" s="39"/>
      <c r="H783" s="39"/>
    </row>
    <row r="784">
      <c r="A784" s="37"/>
      <c r="B784" s="38"/>
      <c r="C784" s="39"/>
      <c r="D784" s="39"/>
      <c r="E784" s="39"/>
      <c r="F784" s="39"/>
      <c r="G784" s="39"/>
      <c r="H784" s="39"/>
    </row>
    <row r="785">
      <c r="A785" s="37"/>
      <c r="B785" s="38"/>
      <c r="C785" s="39"/>
      <c r="D785" s="39"/>
      <c r="E785" s="39"/>
      <c r="F785" s="39"/>
      <c r="G785" s="39"/>
      <c r="H785" s="39"/>
    </row>
    <row r="786">
      <c r="A786" s="37"/>
      <c r="B786" s="38"/>
      <c r="C786" s="39"/>
      <c r="D786" s="39"/>
      <c r="E786" s="39"/>
      <c r="F786" s="39"/>
      <c r="G786" s="39"/>
      <c r="H786" s="39"/>
    </row>
    <row r="787">
      <c r="A787" s="37"/>
      <c r="B787" s="38"/>
      <c r="C787" s="39"/>
      <c r="D787" s="39"/>
      <c r="E787" s="39"/>
      <c r="F787" s="39"/>
      <c r="G787" s="39"/>
      <c r="H787" s="39"/>
    </row>
    <row r="788">
      <c r="A788" s="37"/>
      <c r="B788" s="38"/>
      <c r="C788" s="39"/>
      <c r="D788" s="39"/>
      <c r="E788" s="39"/>
      <c r="F788" s="39"/>
      <c r="G788" s="39"/>
      <c r="H788" s="39"/>
    </row>
    <row r="789">
      <c r="A789" s="37"/>
      <c r="B789" s="38"/>
      <c r="C789" s="39"/>
      <c r="D789" s="39"/>
      <c r="E789" s="39"/>
      <c r="F789" s="39"/>
      <c r="G789" s="39"/>
      <c r="H789" s="39"/>
    </row>
    <row r="790">
      <c r="A790" s="37"/>
      <c r="B790" s="38"/>
      <c r="C790" s="39"/>
      <c r="D790" s="39"/>
      <c r="E790" s="39"/>
      <c r="F790" s="39"/>
      <c r="G790" s="39"/>
      <c r="H790" s="39"/>
    </row>
    <row r="791">
      <c r="A791" s="37"/>
      <c r="B791" s="38"/>
      <c r="C791" s="39"/>
      <c r="D791" s="39"/>
      <c r="E791" s="39"/>
      <c r="F791" s="39"/>
      <c r="G791" s="39"/>
      <c r="H791" s="39"/>
    </row>
    <row r="792">
      <c r="A792" s="37"/>
      <c r="B792" s="38"/>
      <c r="C792" s="39"/>
      <c r="D792" s="39"/>
      <c r="E792" s="39"/>
      <c r="F792" s="39"/>
      <c r="G792" s="39"/>
      <c r="H792" s="39"/>
    </row>
    <row r="793">
      <c r="A793" s="37"/>
      <c r="B793" s="38"/>
      <c r="C793" s="39"/>
      <c r="D793" s="39"/>
      <c r="E793" s="39"/>
      <c r="F793" s="39"/>
      <c r="G793" s="39"/>
      <c r="H793" s="39"/>
    </row>
    <row r="794">
      <c r="A794" s="37"/>
      <c r="B794" s="38"/>
      <c r="C794" s="39"/>
      <c r="D794" s="39"/>
      <c r="E794" s="39"/>
      <c r="F794" s="39"/>
      <c r="G794" s="39"/>
      <c r="H794" s="39"/>
    </row>
    <row r="795">
      <c r="A795" s="37"/>
      <c r="B795" s="38"/>
      <c r="C795" s="39"/>
      <c r="D795" s="39"/>
      <c r="E795" s="39"/>
      <c r="F795" s="39"/>
      <c r="G795" s="39"/>
      <c r="H795" s="39"/>
    </row>
    <row r="796">
      <c r="A796" s="37"/>
      <c r="B796" s="38"/>
      <c r="C796" s="39"/>
      <c r="D796" s="39"/>
      <c r="E796" s="39"/>
      <c r="F796" s="39"/>
      <c r="G796" s="39"/>
      <c r="H796" s="39"/>
    </row>
    <row r="797">
      <c r="A797" s="37"/>
      <c r="B797" s="38"/>
      <c r="C797" s="39"/>
      <c r="D797" s="39"/>
      <c r="E797" s="39"/>
      <c r="F797" s="39"/>
      <c r="G797" s="39"/>
      <c r="H797" s="39"/>
    </row>
    <row r="798">
      <c r="A798" s="37"/>
      <c r="B798" s="38"/>
      <c r="C798" s="39"/>
      <c r="D798" s="39"/>
      <c r="E798" s="39"/>
      <c r="F798" s="39"/>
      <c r="G798" s="39"/>
      <c r="H798" s="39"/>
    </row>
    <row r="799">
      <c r="A799" s="37"/>
      <c r="B799" s="38"/>
      <c r="C799" s="39"/>
      <c r="D799" s="39"/>
      <c r="E799" s="39"/>
      <c r="F799" s="39"/>
      <c r="G799" s="39"/>
      <c r="H799" s="39"/>
    </row>
    <row r="800">
      <c r="A800" s="37"/>
      <c r="B800" s="38"/>
      <c r="C800" s="39"/>
      <c r="D800" s="39"/>
      <c r="E800" s="39"/>
      <c r="F800" s="39"/>
      <c r="G800" s="39"/>
      <c r="H800" s="39"/>
    </row>
    <row r="801">
      <c r="A801" s="37"/>
      <c r="B801" s="38"/>
      <c r="C801" s="39"/>
      <c r="D801" s="39"/>
      <c r="E801" s="39"/>
      <c r="F801" s="39"/>
      <c r="G801" s="39"/>
      <c r="H801" s="39"/>
    </row>
    <row r="802">
      <c r="A802" s="37"/>
      <c r="B802" s="38"/>
      <c r="C802" s="39"/>
      <c r="D802" s="39"/>
      <c r="E802" s="39"/>
      <c r="F802" s="39"/>
      <c r="G802" s="39"/>
      <c r="H802" s="39"/>
    </row>
    <row r="803">
      <c r="A803" s="37"/>
      <c r="B803" s="38"/>
      <c r="C803" s="39"/>
      <c r="D803" s="39"/>
      <c r="E803" s="39"/>
      <c r="F803" s="39"/>
      <c r="G803" s="39"/>
      <c r="H803" s="39"/>
    </row>
    <row r="804">
      <c r="A804" s="37"/>
      <c r="B804" s="38"/>
      <c r="C804" s="39"/>
      <c r="D804" s="39"/>
      <c r="E804" s="39"/>
      <c r="F804" s="39"/>
      <c r="G804" s="39"/>
      <c r="H804" s="39"/>
    </row>
    <row r="805">
      <c r="A805" s="37"/>
      <c r="B805" s="38"/>
      <c r="C805" s="39"/>
      <c r="D805" s="39"/>
      <c r="E805" s="39"/>
      <c r="F805" s="39"/>
      <c r="G805" s="39"/>
      <c r="H805" s="39"/>
    </row>
    <row r="806">
      <c r="A806" s="37"/>
      <c r="B806" s="38"/>
      <c r="C806" s="39"/>
      <c r="D806" s="39"/>
      <c r="E806" s="39"/>
      <c r="F806" s="39"/>
      <c r="G806" s="39"/>
      <c r="H806" s="39"/>
    </row>
    <row r="807">
      <c r="A807" s="37"/>
      <c r="B807" s="38"/>
      <c r="C807" s="39"/>
      <c r="D807" s="39"/>
      <c r="E807" s="39"/>
      <c r="F807" s="39"/>
      <c r="G807" s="39"/>
      <c r="H807" s="39"/>
    </row>
    <row r="808">
      <c r="A808" s="37"/>
      <c r="B808" s="38"/>
      <c r="C808" s="39"/>
      <c r="D808" s="39"/>
      <c r="E808" s="39"/>
      <c r="F808" s="39"/>
      <c r="G808" s="39"/>
      <c r="H808" s="39"/>
    </row>
    <row r="809">
      <c r="A809" s="37"/>
      <c r="B809" s="38"/>
      <c r="C809" s="39"/>
      <c r="D809" s="39"/>
      <c r="E809" s="39"/>
      <c r="F809" s="39"/>
      <c r="G809" s="39"/>
      <c r="H809" s="39"/>
    </row>
    <row r="810">
      <c r="A810" s="37"/>
      <c r="B810" s="38"/>
      <c r="C810" s="39"/>
      <c r="D810" s="39"/>
      <c r="E810" s="39"/>
      <c r="F810" s="39"/>
      <c r="G810" s="39"/>
      <c r="H810" s="39"/>
    </row>
    <row r="811">
      <c r="A811" s="37"/>
      <c r="B811" s="38"/>
      <c r="C811" s="39"/>
      <c r="D811" s="39"/>
      <c r="E811" s="39"/>
      <c r="F811" s="39"/>
      <c r="G811" s="39"/>
      <c r="H811" s="39"/>
    </row>
    <row r="812">
      <c r="A812" s="37"/>
      <c r="B812" s="38"/>
      <c r="C812" s="39"/>
      <c r="D812" s="39"/>
      <c r="E812" s="39"/>
      <c r="F812" s="39"/>
      <c r="G812" s="39"/>
      <c r="H812" s="39"/>
    </row>
    <row r="813">
      <c r="A813" s="37"/>
      <c r="B813" s="38"/>
      <c r="C813" s="39"/>
      <c r="D813" s="39"/>
      <c r="E813" s="39"/>
      <c r="F813" s="39"/>
      <c r="G813" s="39"/>
      <c r="H813" s="39"/>
    </row>
    <row r="814">
      <c r="A814" s="37"/>
      <c r="B814" s="38"/>
      <c r="C814" s="39"/>
      <c r="D814" s="39"/>
      <c r="E814" s="39"/>
      <c r="F814" s="39"/>
      <c r="G814" s="39"/>
      <c r="H814" s="39"/>
    </row>
    <row r="815">
      <c r="A815" s="37"/>
      <c r="B815" s="38"/>
      <c r="C815" s="39"/>
      <c r="D815" s="39"/>
      <c r="E815" s="39"/>
      <c r="F815" s="39"/>
      <c r="G815" s="39"/>
      <c r="H815" s="39"/>
    </row>
    <row r="816">
      <c r="A816" s="37"/>
      <c r="B816" s="38"/>
      <c r="C816" s="39"/>
      <c r="D816" s="39"/>
      <c r="E816" s="39"/>
      <c r="F816" s="39"/>
      <c r="G816" s="39"/>
      <c r="H816" s="39"/>
    </row>
    <row r="817">
      <c r="A817" s="37"/>
      <c r="B817" s="38"/>
      <c r="C817" s="39"/>
      <c r="D817" s="39"/>
      <c r="E817" s="39"/>
      <c r="F817" s="39"/>
      <c r="G817" s="39"/>
      <c r="H817" s="39"/>
    </row>
    <row r="818">
      <c r="A818" s="37"/>
      <c r="B818" s="38"/>
      <c r="C818" s="39"/>
      <c r="D818" s="39"/>
      <c r="E818" s="39"/>
      <c r="F818" s="39"/>
      <c r="G818" s="39"/>
      <c r="H818" s="39"/>
    </row>
    <row r="819">
      <c r="A819" s="37"/>
      <c r="B819" s="38"/>
      <c r="C819" s="39"/>
      <c r="D819" s="39"/>
      <c r="E819" s="39"/>
      <c r="F819" s="39"/>
      <c r="G819" s="39"/>
      <c r="H819" s="39"/>
    </row>
    <row r="820">
      <c r="A820" s="37"/>
      <c r="B820" s="38"/>
      <c r="C820" s="39"/>
      <c r="D820" s="39"/>
      <c r="E820" s="39"/>
      <c r="F820" s="39"/>
      <c r="G820" s="39"/>
      <c r="H820" s="39"/>
    </row>
    <row r="821">
      <c r="A821" s="37"/>
      <c r="B821" s="38"/>
      <c r="C821" s="39"/>
      <c r="D821" s="39"/>
      <c r="E821" s="39"/>
      <c r="F821" s="39"/>
      <c r="G821" s="39"/>
      <c r="H821" s="39"/>
    </row>
    <row r="822">
      <c r="A822" s="37"/>
      <c r="B822" s="38"/>
      <c r="C822" s="39"/>
      <c r="D822" s="39"/>
      <c r="E822" s="39"/>
      <c r="F822" s="39"/>
      <c r="G822" s="39"/>
      <c r="H822" s="39"/>
    </row>
    <row r="823">
      <c r="A823" s="37"/>
      <c r="B823" s="38"/>
      <c r="C823" s="39"/>
      <c r="D823" s="39"/>
      <c r="E823" s="39"/>
      <c r="F823" s="39"/>
      <c r="G823" s="39"/>
      <c r="H823" s="39"/>
    </row>
    <row r="824">
      <c r="A824" s="37"/>
      <c r="B824" s="38"/>
      <c r="C824" s="39"/>
      <c r="D824" s="39"/>
      <c r="E824" s="39"/>
      <c r="F824" s="39"/>
      <c r="G824" s="39"/>
      <c r="H824" s="39"/>
    </row>
    <row r="825">
      <c r="A825" s="37"/>
      <c r="B825" s="38"/>
      <c r="C825" s="39"/>
      <c r="D825" s="39"/>
      <c r="E825" s="39"/>
      <c r="F825" s="39"/>
      <c r="G825" s="39"/>
      <c r="H825" s="39"/>
    </row>
    <row r="826">
      <c r="A826" s="37"/>
      <c r="B826" s="38"/>
      <c r="C826" s="39"/>
      <c r="D826" s="39"/>
      <c r="E826" s="39"/>
      <c r="F826" s="39"/>
      <c r="G826" s="39"/>
      <c r="H826" s="39"/>
    </row>
    <row r="827">
      <c r="A827" s="37"/>
      <c r="B827" s="38"/>
      <c r="C827" s="39"/>
      <c r="D827" s="39"/>
      <c r="E827" s="39"/>
      <c r="F827" s="39"/>
      <c r="G827" s="39"/>
      <c r="H827" s="39"/>
    </row>
    <row r="828">
      <c r="A828" s="37"/>
      <c r="B828" s="38"/>
      <c r="C828" s="39"/>
      <c r="D828" s="39"/>
      <c r="E828" s="39"/>
      <c r="F828" s="39"/>
      <c r="G828" s="39"/>
      <c r="H828" s="39"/>
    </row>
    <row r="829">
      <c r="A829" s="37"/>
      <c r="B829" s="38"/>
      <c r="C829" s="39"/>
      <c r="D829" s="39"/>
      <c r="E829" s="39"/>
      <c r="F829" s="39"/>
      <c r="G829" s="39"/>
      <c r="H829" s="39"/>
    </row>
    <row r="830">
      <c r="A830" s="37"/>
      <c r="B830" s="38"/>
      <c r="C830" s="39"/>
      <c r="D830" s="39"/>
      <c r="E830" s="39"/>
      <c r="F830" s="39"/>
      <c r="G830" s="39"/>
      <c r="H830" s="39"/>
    </row>
    <row r="831">
      <c r="A831" s="37"/>
      <c r="B831" s="38"/>
      <c r="C831" s="39"/>
      <c r="D831" s="39"/>
      <c r="E831" s="39"/>
      <c r="F831" s="39"/>
      <c r="G831" s="39"/>
      <c r="H831" s="39"/>
    </row>
    <row r="832">
      <c r="A832" s="37"/>
      <c r="B832" s="38"/>
      <c r="C832" s="39"/>
      <c r="D832" s="39"/>
      <c r="E832" s="39"/>
      <c r="F832" s="39"/>
      <c r="G832" s="39"/>
      <c r="H832" s="39"/>
    </row>
    <row r="833">
      <c r="A833" s="37"/>
      <c r="B833" s="38"/>
      <c r="C833" s="39"/>
      <c r="D833" s="39"/>
      <c r="E833" s="39"/>
      <c r="F833" s="39"/>
      <c r="G833" s="39"/>
      <c r="H833" s="39"/>
    </row>
    <row r="834">
      <c r="A834" s="37"/>
      <c r="B834" s="38"/>
      <c r="C834" s="39"/>
      <c r="D834" s="39"/>
      <c r="E834" s="39"/>
      <c r="F834" s="39"/>
      <c r="G834" s="39"/>
      <c r="H834" s="39"/>
    </row>
    <row r="835">
      <c r="A835" s="37"/>
      <c r="B835" s="38"/>
      <c r="C835" s="39"/>
      <c r="D835" s="39"/>
      <c r="E835" s="39"/>
      <c r="F835" s="39"/>
      <c r="G835" s="39"/>
      <c r="H835" s="39"/>
    </row>
    <row r="836">
      <c r="A836" s="37"/>
      <c r="B836" s="38"/>
      <c r="C836" s="39"/>
      <c r="D836" s="39"/>
      <c r="E836" s="39"/>
      <c r="F836" s="39"/>
      <c r="G836" s="39"/>
      <c r="H836" s="39"/>
    </row>
    <row r="837">
      <c r="A837" s="37"/>
      <c r="B837" s="38"/>
      <c r="C837" s="39"/>
      <c r="D837" s="39"/>
      <c r="E837" s="39"/>
      <c r="F837" s="39"/>
      <c r="G837" s="39"/>
      <c r="H837" s="39"/>
    </row>
    <row r="838">
      <c r="A838" s="37"/>
      <c r="B838" s="38"/>
      <c r="C838" s="39"/>
      <c r="D838" s="39"/>
      <c r="E838" s="39"/>
      <c r="F838" s="39"/>
      <c r="G838" s="39"/>
      <c r="H838" s="39"/>
    </row>
    <row r="839">
      <c r="A839" s="37"/>
      <c r="B839" s="38"/>
      <c r="C839" s="39"/>
      <c r="D839" s="39"/>
      <c r="E839" s="39"/>
      <c r="F839" s="39"/>
      <c r="G839" s="39"/>
      <c r="H839" s="39"/>
    </row>
    <row r="840">
      <c r="A840" s="37"/>
      <c r="B840" s="38"/>
      <c r="C840" s="39"/>
      <c r="D840" s="39"/>
      <c r="E840" s="39"/>
      <c r="F840" s="39"/>
      <c r="G840" s="39"/>
      <c r="H840" s="39"/>
    </row>
    <row r="841">
      <c r="A841" s="37"/>
      <c r="B841" s="38"/>
      <c r="C841" s="39"/>
      <c r="D841" s="39"/>
      <c r="E841" s="39"/>
      <c r="F841" s="39"/>
      <c r="G841" s="39"/>
      <c r="H841" s="39"/>
    </row>
    <row r="842">
      <c r="A842" s="37"/>
      <c r="B842" s="38"/>
      <c r="C842" s="39"/>
      <c r="D842" s="39"/>
      <c r="E842" s="39"/>
      <c r="F842" s="39"/>
      <c r="G842" s="39"/>
      <c r="H842" s="39"/>
    </row>
    <row r="843">
      <c r="A843" s="37"/>
      <c r="B843" s="38"/>
      <c r="C843" s="39"/>
      <c r="D843" s="39"/>
      <c r="E843" s="39"/>
      <c r="F843" s="39"/>
      <c r="G843" s="39"/>
      <c r="H843" s="39"/>
    </row>
    <row r="844">
      <c r="A844" s="37"/>
      <c r="B844" s="38"/>
      <c r="C844" s="39"/>
      <c r="D844" s="39"/>
      <c r="E844" s="39"/>
      <c r="F844" s="39"/>
      <c r="G844" s="39"/>
      <c r="H844" s="39"/>
    </row>
    <row r="845">
      <c r="A845" s="37"/>
      <c r="B845" s="38"/>
      <c r="C845" s="39"/>
      <c r="D845" s="39"/>
      <c r="E845" s="39"/>
      <c r="F845" s="39"/>
      <c r="G845" s="39"/>
      <c r="H845" s="39"/>
    </row>
    <row r="846">
      <c r="A846" s="37"/>
      <c r="B846" s="38"/>
      <c r="C846" s="39"/>
      <c r="D846" s="39"/>
      <c r="E846" s="39"/>
      <c r="F846" s="39"/>
      <c r="G846" s="39"/>
      <c r="H846" s="39"/>
    </row>
    <row r="847">
      <c r="A847" s="37"/>
      <c r="B847" s="38"/>
      <c r="C847" s="39"/>
      <c r="D847" s="39"/>
      <c r="E847" s="39"/>
      <c r="F847" s="39"/>
      <c r="G847" s="39"/>
      <c r="H847" s="39"/>
    </row>
    <row r="848">
      <c r="A848" s="37"/>
      <c r="B848" s="38"/>
      <c r="C848" s="39"/>
      <c r="D848" s="39"/>
      <c r="E848" s="39"/>
      <c r="F848" s="39"/>
      <c r="G848" s="39"/>
      <c r="H848" s="39"/>
    </row>
    <row r="849">
      <c r="A849" s="37"/>
      <c r="B849" s="38"/>
      <c r="C849" s="39"/>
      <c r="D849" s="39"/>
      <c r="E849" s="39"/>
      <c r="F849" s="39"/>
      <c r="G849" s="39"/>
      <c r="H849" s="39"/>
    </row>
    <row r="850">
      <c r="A850" s="37"/>
      <c r="B850" s="38"/>
      <c r="C850" s="39"/>
      <c r="D850" s="39"/>
      <c r="E850" s="39"/>
      <c r="F850" s="39"/>
      <c r="G850" s="39"/>
      <c r="H850" s="39"/>
    </row>
    <row r="851">
      <c r="A851" s="37"/>
      <c r="B851" s="38"/>
      <c r="C851" s="39"/>
      <c r="D851" s="39"/>
      <c r="E851" s="39"/>
      <c r="F851" s="39"/>
      <c r="G851" s="39"/>
      <c r="H851" s="39"/>
    </row>
    <row r="852">
      <c r="A852" s="37"/>
      <c r="B852" s="38"/>
      <c r="C852" s="39"/>
      <c r="D852" s="39"/>
      <c r="E852" s="39"/>
      <c r="F852" s="39"/>
      <c r="G852" s="39"/>
      <c r="H852" s="39"/>
    </row>
    <row r="853">
      <c r="A853" s="37"/>
      <c r="B853" s="38"/>
      <c r="C853" s="39"/>
      <c r="D853" s="39"/>
      <c r="E853" s="39"/>
      <c r="F853" s="39"/>
      <c r="G853" s="39"/>
      <c r="H853" s="39"/>
    </row>
    <row r="854">
      <c r="A854" s="37"/>
      <c r="B854" s="38"/>
      <c r="C854" s="39"/>
      <c r="D854" s="39"/>
      <c r="E854" s="39"/>
      <c r="F854" s="39"/>
      <c r="G854" s="39"/>
      <c r="H854" s="39"/>
    </row>
    <row r="855">
      <c r="A855" s="37"/>
      <c r="B855" s="38"/>
      <c r="C855" s="39"/>
      <c r="D855" s="39"/>
      <c r="E855" s="39"/>
      <c r="F855" s="39"/>
      <c r="G855" s="39"/>
      <c r="H855" s="39"/>
    </row>
    <row r="856">
      <c r="A856" s="37"/>
      <c r="B856" s="38"/>
      <c r="C856" s="39"/>
      <c r="D856" s="39"/>
      <c r="E856" s="39"/>
      <c r="F856" s="39"/>
      <c r="G856" s="39"/>
      <c r="H856" s="39"/>
    </row>
    <row r="857">
      <c r="A857" s="37"/>
      <c r="B857" s="38"/>
      <c r="C857" s="39"/>
      <c r="D857" s="39"/>
      <c r="E857" s="39"/>
      <c r="F857" s="39"/>
      <c r="G857" s="39"/>
      <c r="H857" s="39"/>
    </row>
    <row r="858">
      <c r="A858" s="37"/>
      <c r="B858" s="38"/>
      <c r="C858" s="39"/>
      <c r="D858" s="39"/>
      <c r="E858" s="39"/>
      <c r="F858" s="39"/>
      <c r="G858" s="39"/>
      <c r="H858" s="39"/>
    </row>
    <row r="859">
      <c r="A859" s="37"/>
      <c r="B859" s="38"/>
      <c r="C859" s="39"/>
      <c r="D859" s="39"/>
      <c r="E859" s="39"/>
      <c r="F859" s="39"/>
      <c r="G859" s="39"/>
      <c r="H859" s="39"/>
    </row>
    <row r="860">
      <c r="A860" s="37"/>
      <c r="B860" s="38"/>
      <c r="C860" s="39"/>
      <c r="D860" s="39"/>
      <c r="E860" s="39"/>
      <c r="F860" s="39"/>
      <c r="G860" s="39"/>
      <c r="H860" s="39"/>
    </row>
    <row r="861">
      <c r="A861" s="37"/>
      <c r="B861" s="38"/>
      <c r="C861" s="39"/>
      <c r="D861" s="39"/>
      <c r="E861" s="39"/>
      <c r="F861" s="39"/>
      <c r="G861" s="39"/>
      <c r="H861" s="39"/>
    </row>
    <row r="862">
      <c r="A862" s="37"/>
      <c r="B862" s="38"/>
      <c r="C862" s="39"/>
      <c r="D862" s="39"/>
      <c r="E862" s="39"/>
      <c r="F862" s="39"/>
      <c r="G862" s="39"/>
      <c r="H862" s="39"/>
    </row>
    <row r="863">
      <c r="A863" s="37"/>
      <c r="B863" s="38"/>
      <c r="C863" s="39"/>
      <c r="D863" s="39"/>
      <c r="E863" s="39"/>
      <c r="F863" s="39"/>
      <c r="G863" s="39"/>
      <c r="H863" s="39"/>
    </row>
    <row r="864">
      <c r="A864" s="37"/>
      <c r="B864" s="38"/>
      <c r="C864" s="39"/>
      <c r="D864" s="39"/>
      <c r="E864" s="39"/>
      <c r="F864" s="39"/>
      <c r="G864" s="39"/>
      <c r="H864" s="39"/>
    </row>
    <row r="865">
      <c r="A865" s="37"/>
      <c r="B865" s="38"/>
      <c r="C865" s="39"/>
      <c r="D865" s="39"/>
      <c r="E865" s="39"/>
      <c r="F865" s="39"/>
      <c r="G865" s="39"/>
      <c r="H865" s="39"/>
    </row>
    <row r="866">
      <c r="A866" s="37"/>
      <c r="B866" s="38"/>
      <c r="C866" s="39"/>
      <c r="D866" s="39"/>
      <c r="E866" s="39"/>
      <c r="F866" s="39"/>
      <c r="G866" s="39"/>
      <c r="H866" s="39"/>
    </row>
    <row r="867">
      <c r="A867" s="37"/>
      <c r="B867" s="38"/>
      <c r="C867" s="39"/>
      <c r="D867" s="39"/>
      <c r="E867" s="39"/>
      <c r="F867" s="39"/>
      <c r="G867" s="39"/>
      <c r="H867" s="39"/>
    </row>
    <row r="868">
      <c r="A868" s="37"/>
      <c r="B868" s="38"/>
      <c r="C868" s="39"/>
      <c r="D868" s="39"/>
      <c r="E868" s="39"/>
      <c r="F868" s="39"/>
      <c r="G868" s="39"/>
      <c r="H868" s="39"/>
    </row>
    <row r="869">
      <c r="A869" s="37"/>
      <c r="B869" s="38"/>
      <c r="C869" s="39"/>
      <c r="D869" s="39"/>
      <c r="E869" s="39"/>
      <c r="F869" s="39"/>
      <c r="G869" s="39"/>
      <c r="H869" s="39"/>
    </row>
    <row r="870">
      <c r="A870" s="37"/>
      <c r="B870" s="38"/>
      <c r="C870" s="39"/>
      <c r="D870" s="39"/>
      <c r="E870" s="39"/>
      <c r="F870" s="39"/>
      <c r="G870" s="39"/>
      <c r="H870" s="39"/>
    </row>
    <row r="871">
      <c r="A871" s="37"/>
      <c r="B871" s="38"/>
      <c r="C871" s="39"/>
      <c r="D871" s="39"/>
      <c r="E871" s="39"/>
      <c r="F871" s="39"/>
      <c r="G871" s="39"/>
      <c r="H871" s="39"/>
    </row>
    <row r="872">
      <c r="A872" s="37"/>
      <c r="B872" s="38"/>
      <c r="C872" s="39"/>
      <c r="D872" s="39"/>
      <c r="E872" s="39"/>
      <c r="F872" s="39"/>
      <c r="G872" s="39"/>
      <c r="H872" s="39"/>
    </row>
    <row r="873">
      <c r="A873" s="37"/>
      <c r="B873" s="38"/>
      <c r="C873" s="39"/>
      <c r="D873" s="39"/>
      <c r="E873" s="39"/>
      <c r="F873" s="39"/>
      <c r="G873" s="39"/>
      <c r="H873" s="39"/>
    </row>
    <row r="874">
      <c r="A874" s="37"/>
      <c r="B874" s="38"/>
      <c r="C874" s="39"/>
      <c r="D874" s="39"/>
      <c r="E874" s="39"/>
      <c r="F874" s="39"/>
      <c r="G874" s="39"/>
      <c r="H874" s="39"/>
    </row>
    <row r="875">
      <c r="A875" s="37"/>
      <c r="B875" s="38"/>
      <c r="C875" s="39"/>
      <c r="D875" s="39"/>
      <c r="E875" s="39"/>
      <c r="F875" s="39"/>
      <c r="G875" s="39"/>
      <c r="H875" s="39"/>
    </row>
    <row r="876">
      <c r="A876" s="37"/>
      <c r="B876" s="38"/>
      <c r="C876" s="39"/>
      <c r="D876" s="39"/>
      <c r="E876" s="39"/>
      <c r="F876" s="39"/>
      <c r="G876" s="39"/>
      <c r="H876" s="39"/>
    </row>
    <row r="877">
      <c r="A877" s="37"/>
      <c r="B877" s="38"/>
      <c r="C877" s="39"/>
      <c r="D877" s="39"/>
      <c r="E877" s="39"/>
      <c r="F877" s="39"/>
      <c r="G877" s="39"/>
      <c r="H877" s="39"/>
    </row>
    <row r="878">
      <c r="A878" s="37"/>
      <c r="B878" s="38"/>
      <c r="C878" s="39"/>
      <c r="D878" s="39"/>
      <c r="E878" s="39"/>
      <c r="F878" s="39"/>
      <c r="G878" s="39"/>
      <c r="H878" s="39"/>
    </row>
    <row r="879">
      <c r="A879" s="37"/>
      <c r="B879" s="38"/>
      <c r="C879" s="39"/>
      <c r="D879" s="39"/>
      <c r="E879" s="39"/>
      <c r="F879" s="39"/>
      <c r="G879" s="39"/>
      <c r="H879" s="39"/>
    </row>
  </sheetData>
  <mergeCells count="60">
    <mergeCell ref="A31:J31"/>
    <mergeCell ref="A32:J32"/>
    <mergeCell ref="A33:J33"/>
    <mergeCell ref="K33:L33"/>
    <mergeCell ref="A34:J34"/>
    <mergeCell ref="A35:J35"/>
    <mergeCell ref="A36:J36"/>
    <mergeCell ref="A44:J44"/>
    <mergeCell ref="A45:J45"/>
    <mergeCell ref="A46:J46"/>
    <mergeCell ref="A37:J37"/>
    <mergeCell ref="A38:J38"/>
    <mergeCell ref="A39:J39"/>
    <mergeCell ref="A40:J40"/>
    <mergeCell ref="A41:J41"/>
    <mergeCell ref="A42:J42"/>
    <mergeCell ref="A43:J43"/>
    <mergeCell ref="G4:J4"/>
    <mergeCell ref="G5:J5"/>
    <mergeCell ref="A1:J1"/>
    <mergeCell ref="B2:E2"/>
    <mergeCell ref="G2:J2"/>
    <mergeCell ref="B3:E3"/>
    <mergeCell ref="G3:J3"/>
    <mergeCell ref="B4:E4"/>
    <mergeCell ref="B5:E5"/>
    <mergeCell ref="B9:E9"/>
    <mergeCell ref="B10:E10"/>
    <mergeCell ref="B11:E11"/>
    <mergeCell ref="B12:E12"/>
    <mergeCell ref="B13:E13"/>
    <mergeCell ref="B14:E14"/>
    <mergeCell ref="B6:E6"/>
    <mergeCell ref="G6:J6"/>
    <mergeCell ref="B7:E7"/>
    <mergeCell ref="G7:J7"/>
    <mergeCell ref="B8:E8"/>
    <mergeCell ref="G8:J8"/>
    <mergeCell ref="G9:J9"/>
    <mergeCell ref="G10:J10"/>
    <mergeCell ref="G11:J11"/>
    <mergeCell ref="G12:J12"/>
    <mergeCell ref="G13:J13"/>
    <mergeCell ref="G14:J14"/>
    <mergeCell ref="A15:J16"/>
    <mergeCell ref="K17:M17"/>
    <mergeCell ref="A17:J17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</mergeCells>
  <hyperlinks>
    <hyperlink r:id="rId1" ref="G2"/>
    <hyperlink r:id="rId2" ref="G3"/>
    <hyperlink r:id="rId3" ref="B5"/>
    <hyperlink r:id="rId4" ref="G5"/>
    <hyperlink r:id="rId5" ref="G6"/>
    <hyperlink r:id="rId6" ref="B8"/>
    <hyperlink r:id="rId7" ref="G8"/>
    <hyperlink r:id="rId8" ref="G11"/>
    <hyperlink r:id="rId9" ref="B13"/>
    <hyperlink r:id="rId10" ref="B14"/>
    <hyperlink r:id="rId11" ref="K17"/>
    <hyperlink r:id="rId12" ref="K19"/>
    <hyperlink r:id="rId13" ref="K21"/>
    <hyperlink r:id="rId14" ref="A24"/>
    <hyperlink r:id="rId15" ref="K25"/>
    <hyperlink r:id="rId16" ref="L25"/>
    <hyperlink display="For long-term storage, both DW384WP or 384WP can be used with SSM, but media renewal (Refresh) routine is recommended." location="Refresh!A1" ref="A29"/>
    <hyperlink r:id="rId17" ref="K33"/>
    <hyperlink r:id="rId18" ref="K34"/>
  </hyperlinks>
  <printOptions gridLines="1" horizontalCentered="1"/>
  <pageMargins bottom="0.05" footer="0.0" header="0.0" left="0.0" right="0.0" top="0.05"/>
  <pageSetup cellComments="atEnd" orientation="portrait" pageOrder="overThenDown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25"/>
    <col customWidth="1" min="3" max="3" width="7.38"/>
    <col customWidth="1" min="4" max="4" width="6.13"/>
    <col customWidth="1" min="5" max="6" width="10.0"/>
    <col customWidth="1" min="7" max="7" width="9.5"/>
    <col customWidth="1" min="8" max="8" width="9.75"/>
    <col customWidth="1" min="9" max="9" width="18.63"/>
    <col customWidth="1" min="10" max="10" width="10.63"/>
  </cols>
  <sheetData>
    <row r="1">
      <c r="A1" s="19" t="s">
        <v>64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40" t="s">
        <v>65</v>
      </c>
      <c r="B3" s="20"/>
      <c r="C3" s="20"/>
      <c r="D3" s="20"/>
      <c r="E3" s="20"/>
      <c r="F3" s="20"/>
      <c r="G3" s="20"/>
      <c r="H3" s="20"/>
      <c r="I3" s="20"/>
      <c r="J3" s="21"/>
    </row>
    <row r="4">
      <c r="A4" s="41" t="s">
        <v>66</v>
      </c>
      <c r="B4" s="20"/>
      <c r="C4" s="20"/>
      <c r="D4" s="20"/>
      <c r="E4" s="20"/>
      <c r="F4" s="20"/>
      <c r="G4" s="20"/>
      <c r="H4" s="20"/>
      <c r="I4" s="20"/>
      <c r="J4" s="21"/>
    </row>
    <row r="5">
      <c r="A5" s="42" t="s">
        <v>67</v>
      </c>
      <c r="J5" s="8"/>
    </row>
    <row r="6">
      <c r="A6" s="43" t="s">
        <v>68</v>
      </c>
      <c r="J6" s="8"/>
    </row>
    <row r="7">
      <c r="A7" s="44" t="s">
        <v>69</v>
      </c>
      <c r="J7" s="8"/>
    </row>
    <row r="8">
      <c r="A8" s="45"/>
      <c r="B8" s="13"/>
      <c r="C8" s="13"/>
      <c r="D8" s="13"/>
      <c r="E8" s="13"/>
      <c r="F8" s="13"/>
      <c r="G8" s="13"/>
      <c r="H8" s="13"/>
      <c r="I8" s="13"/>
      <c r="J8" s="14"/>
    </row>
    <row r="9">
      <c r="A9" s="46" t="s">
        <v>70</v>
      </c>
      <c r="B9" s="14"/>
      <c r="C9" s="46" t="s">
        <v>71</v>
      </c>
      <c r="D9" s="13"/>
      <c r="E9" s="13"/>
      <c r="F9" s="13"/>
      <c r="G9" s="13"/>
      <c r="H9" s="13"/>
      <c r="I9" s="13"/>
      <c r="J9" s="14"/>
    </row>
    <row r="10">
      <c r="A10" s="47"/>
      <c r="B10" s="20"/>
      <c r="C10" s="20"/>
      <c r="D10" s="20"/>
      <c r="E10" s="20"/>
      <c r="F10" s="20"/>
      <c r="G10" s="20"/>
      <c r="H10" s="20"/>
      <c r="I10" s="21"/>
      <c r="J10" s="48" t="s">
        <v>72</v>
      </c>
    </row>
    <row r="11">
      <c r="A11" s="49" t="s">
        <v>73</v>
      </c>
      <c r="B11" s="50">
        <v>1.0</v>
      </c>
      <c r="C11" s="51" t="s">
        <v>74</v>
      </c>
      <c r="D11" s="20"/>
      <c r="E11" s="20"/>
      <c r="F11" s="20"/>
      <c r="G11" s="20"/>
      <c r="H11" s="20"/>
      <c r="I11" s="21"/>
      <c r="J11" s="52"/>
    </row>
    <row r="12">
      <c r="A12" s="53" t="s">
        <v>73</v>
      </c>
      <c r="B12" s="54">
        <f t="shared" ref="B12:B17" si="1">B11+1</f>
        <v>2</v>
      </c>
      <c r="C12" s="23" t="s">
        <v>75</v>
      </c>
      <c r="I12" s="8"/>
      <c r="J12" s="55">
        <v>10.0</v>
      </c>
    </row>
    <row r="13">
      <c r="A13" s="53" t="s">
        <v>73</v>
      </c>
      <c r="B13" s="54">
        <f t="shared" si="1"/>
        <v>3</v>
      </c>
      <c r="C13" s="23" t="s">
        <v>76</v>
      </c>
      <c r="I13" s="8"/>
      <c r="J13" s="56"/>
    </row>
    <row r="14">
      <c r="A14" s="53" t="s">
        <v>73</v>
      </c>
      <c r="B14" s="54">
        <f t="shared" si="1"/>
        <v>4</v>
      </c>
      <c r="C14" s="23" t="s">
        <v>77</v>
      </c>
      <c r="I14" s="8"/>
      <c r="J14" s="55"/>
    </row>
    <row r="15">
      <c r="A15" s="53" t="str">
        <f t="shared" ref="A15:A17" si="2">A14</f>
        <v>L</v>
      </c>
      <c r="B15" s="54">
        <f t="shared" si="1"/>
        <v>5</v>
      </c>
      <c r="C15" s="23" t="s">
        <v>78</v>
      </c>
      <c r="I15" s="8"/>
      <c r="J15" s="55"/>
    </row>
    <row r="16">
      <c r="A16" s="53" t="str">
        <f t="shared" si="2"/>
        <v>L</v>
      </c>
      <c r="B16" s="54">
        <f t="shared" si="1"/>
        <v>6</v>
      </c>
      <c r="C16" s="23" t="s">
        <v>79</v>
      </c>
      <c r="I16" s="8"/>
      <c r="J16" s="55">
        <v>15.0</v>
      </c>
    </row>
    <row r="17">
      <c r="A17" s="57" t="str">
        <f t="shared" si="2"/>
        <v>L</v>
      </c>
      <c r="B17" s="58">
        <f t="shared" si="1"/>
        <v>7</v>
      </c>
      <c r="C17" s="59" t="s">
        <v>80</v>
      </c>
      <c r="D17" s="13"/>
      <c r="E17" s="13"/>
      <c r="F17" s="13"/>
      <c r="G17" s="13"/>
      <c r="H17" s="13"/>
      <c r="I17" s="14"/>
      <c r="J17" s="60">
        <v>5.0</v>
      </c>
    </row>
    <row r="18">
      <c r="I18" s="61" t="s">
        <v>81</v>
      </c>
      <c r="J18" s="62">
        <f>sum(J16:J17)</f>
        <v>20</v>
      </c>
    </row>
  </sheetData>
  <mergeCells count="17">
    <mergeCell ref="A1:J2"/>
    <mergeCell ref="A3:J3"/>
    <mergeCell ref="A4:J4"/>
    <mergeCell ref="A5:J5"/>
    <mergeCell ref="A6:J6"/>
    <mergeCell ref="A7:J7"/>
    <mergeCell ref="A8:J8"/>
    <mergeCell ref="C15:I15"/>
    <mergeCell ref="C16:I16"/>
    <mergeCell ref="C17:I17"/>
    <mergeCell ref="A9:B9"/>
    <mergeCell ref="C9:J9"/>
    <mergeCell ref="A10:I10"/>
    <mergeCell ref="C11:I11"/>
    <mergeCell ref="C12:I12"/>
    <mergeCell ref="C13:I13"/>
    <mergeCell ref="C14:I14"/>
  </mergeCells>
  <printOptions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25"/>
    <col customWidth="1" min="3" max="3" width="7.38"/>
    <col customWidth="1" min="4" max="4" width="6.13"/>
    <col customWidth="1" min="5" max="6" width="10.0"/>
    <col customWidth="1" min="7" max="7" width="9.5"/>
    <col customWidth="1" min="8" max="8" width="9.75"/>
    <col customWidth="1" min="9" max="9" width="12.13"/>
    <col customWidth="1" min="10" max="10" width="10.63"/>
  </cols>
  <sheetData>
    <row r="1">
      <c r="A1" s="63" t="s">
        <v>82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40" t="s">
        <v>65</v>
      </c>
      <c r="B3" s="20"/>
      <c r="C3" s="20"/>
      <c r="D3" s="20"/>
      <c r="E3" s="20"/>
      <c r="F3" s="20"/>
      <c r="G3" s="20"/>
      <c r="H3" s="20"/>
      <c r="I3" s="20"/>
      <c r="J3" s="21"/>
    </row>
    <row r="4">
      <c r="A4" s="41" t="s">
        <v>83</v>
      </c>
      <c r="B4" s="20"/>
      <c r="C4" s="20"/>
      <c r="D4" s="20"/>
      <c r="E4" s="20"/>
      <c r="F4" s="20"/>
      <c r="G4" s="20"/>
      <c r="H4" s="20"/>
      <c r="I4" s="20"/>
      <c r="J4" s="21"/>
    </row>
    <row r="5">
      <c r="A5" s="42" t="s">
        <v>84</v>
      </c>
      <c r="J5" s="8"/>
    </row>
    <row r="6">
      <c r="A6" s="43" t="s">
        <v>85</v>
      </c>
      <c r="J6" s="8"/>
    </row>
    <row r="7">
      <c r="A7" s="44" t="s">
        <v>86</v>
      </c>
      <c r="J7" s="8"/>
    </row>
    <row r="8">
      <c r="A8" s="64" t="s">
        <v>87</v>
      </c>
      <c r="J8" s="8"/>
    </row>
    <row r="9">
      <c r="A9" s="45" t="s">
        <v>88</v>
      </c>
      <c r="B9" s="13"/>
      <c r="C9" s="13"/>
      <c r="D9" s="13"/>
      <c r="E9" s="13"/>
      <c r="F9" s="13"/>
      <c r="G9" s="13"/>
      <c r="H9" s="13"/>
      <c r="I9" s="13"/>
      <c r="J9" s="14"/>
    </row>
    <row r="10">
      <c r="A10" s="46" t="s">
        <v>70</v>
      </c>
      <c r="B10" s="14"/>
      <c r="C10" s="46" t="s">
        <v>89</v>
      </c>
      <c r="D10" s="13"/>
      <c r="E10" s="13"/>
      <c r="F10" s="13"/>
      <c r="G10" s="13"/>
      <c r="H10" s="13"/>
      <c r="I10" s="13"/>
      <c r="J10" s="14"/>
    </row>
    <row r="11">
      <c r="A11" s="65"/>
      <c r="B11" s="2"/>
      <c r="C11" s="2"/>
      <c r="D11" s="2"/>
      <c r="E11" s="2"/>
      <c r="F11" s="2"/>
      <c r="G11" s="2"/>
      <c r="H11" s="2"/>
      <c r="I11" s="3"/>
      <c r="J11" s="48" t="s">
        <v>90</v>
      </c>
    </row>
    <row r="12">
      <c r="A12" s="49" t="s">
        <v>91</v>
      </c>
      <c r="B12" s="66">
        <v>1.0</v>
      </c>
      <c r="C12" s="67" t="s">
        <v>92</v>
      </c>
      <c r="D12" s="2"/>
      <c r="E12" s="2"/>
      <c r="F12" s="2"/>
      <c r="G12" s="2"/>
      <c r="H12" s="2"/>
      <c r="I12" s="3"/>
      <c r="J12" s="68"/>
    </row>
    <row r="13">
      <c r="A13" s="49" t="s">
        <v>73</v>
      </c>
      <c r="B13" s="66">
        <f>B12+1</f>
        <v>2</v>
      </c>
      <c r="C13" s="7" t="s">
        <v>93</v>
      </c>
      <c r="I13" s="8"/>
      <c r="J13" s="69"/>
    </row>
    <row r="14">
      <c r="A14" s="49" t="s">
        <v>94</v>
      </c>
      <c r="B14" s="66">
        <v>3.0</v>
      </c>
      <c r="C14" s="70" t="s">
        <v>95</v>
      </c>
      <c r="D14" s="20"/>
      <c r="E14" s="20"/>
      <c r="F14" s="20"/>
      <c r="G14" s="20"/>
      <c r="H14" s="20"/>
      <c r="I14" s="21"/>
      <c r="J14" s="71"/>
    </row>
    <row r="15">
      <c r="A15" s="49" t="s">
        <v>96</v>
      </c>
      <c r="B15" s="50">
        <v>4.0</v>
      </c>
      <c r="C15" s="72" t="s">
        <v>97</v>
      </c>
      <c r="D15" s="20"/>
      <c r="E15" s="20"/>
      <c r="F15" s="20"/>
      <c r="G15" s="20"/>
      <c r="H15" s="20"/>
      <c r="I15" s="21"/>
      <c r="J15" s="71"/>
    </row>
    <row r="16">
      <c r="A16" s="53" t="s">
        <v>96</v>
      </c>
      <c r="B16" s="54">
        <f t="shared" ref="B16:B49" si="1">B15+1</f>
        <v>5</v>
      </c>
      <c r="C16" s="73" t="s">
        <v>98</v>
      </c>
      <c r="I16" s="8"/>
      <c r="J16" s="74"/>
    </row>
    <row r="17">
      <c r="A17" s="53" t="s">
        <v>96</v>
      </c>
      <c r="B17" s="54">
        <f t="shared" si="1"/>
        <v>6</v>
      </c>
      <c r="C17" s="75" t="s">
        <v>99</v>
      </c>
      <c r="I17" s="8"/>
      <c r="J17" s="74"/>
    </row>
    <row r="18">
      <c r="A18" s="53" t="s">
        <v>96</v>
      </c>
      <c r="B18" s="54">
        <f t="shared" si="1"/>
        <v>7</v>
      </c>
      <c r="C18" s="75" t="s">
        <v>100</v>
      </c>
      <c r="I18" s="8"/>
      <c r="J18" s="74"/>
    </row>
    <row r="19">
      <c r="A19" s="53" t="s">
        <v>96</v>
      </c>
      <c r="B19" s="54">
        <f t="shared" si="1"/>
        <v>8</v>
      </c>
      <c r="C19" s="76" t="s">
        <v>101</v>
      </c>
      <c r="I19" s="8"/>
      <c r="J19" s="77"/>
    </row>
    <row r="20">
      <c r="A20" s="53" t="s">
        <v>96</v>
      </c>
      <c r="B20" s="54">
        <f t="shared" si="1"/>
        <v>9</v>
      </c>
      <c r="C20" s="78" t="s">
        <v>102</v>
      </c>
      <c r="I20" s="8"/>
      <c r="J20" s="77"/>
    </row>
    <row r="21">
      <c r="A21" s="53" t="s">
        <v>96</v>
      </c>
      <c r="B21" s="54">
        <f t="shared" si="1"/>
        <v>10</v>
      </c>
      <c r="C21" s="76" t="s">
        <v>103</v>
      </c>
      <c r="I21" s="8"/>
      <c r="J21" s="77"/>
    </row>
    <row r="22">
      <c r="A22" s="53" t="str">
        <f t="shared" ref="A22:A23" si="2">A19</f>
        <v>S</v>
      </c>
      <c r="B22" s="54">
        <f t="shared" si="1"/>
        <v>11</v>
      </c>
      <c r="C22" s="79" t="s">
        <v>104</v>
      </c>
      <c r="I22" s="8"/>
      <c r="J22" s="77"/>
    </row>
    <row r="23">
      <c r="A23" s="53" t="str">
        <f t="shared" si="2"/>
        <v>S</v>
      </c>
      <c r="B23" s="54">
        <f t="shared" si="1"/>
        <v>12</v>
      </c>
      <c r="C23" s="79" t="s">
        <v>105</v>
      </c>
      <c r="I23" s="8"/>
      <c r="J23" s="77"/>
    </row>
    <row r="24">
      <c r="A24" s="53" t="str">
        <f t="shared" ref="A24:A26" si="3">A22</f>
        <v>S</v>
      </c>
      <c r="B24" s="54">
        <f t="shared" si="1"/>
        <v>13</v>
      </c>
      <c r="C24" s="79" t="s">
        <v>106</v>
      </c>
      <c r="I24" s="8"/>
      <c r="J24" s="77"/>
    </row>
    <row r="25">
      <c r="A25" s="53" t="str">
        <f t="shared" si="3"/>
        <v>S</v>
      </c>
      <c r="B25" s="54">
        <f t="shared" si="1"/>
        <v>14</v>
      </c>
      <c r="C25" s="73" t="s">
        <v>107</v>
      </c>
      <c r="I25" s="8"/>
      <c r="J25" s="77"/>
    </row>
    <row r="26">
      <c r="A26" s="53" t="str">
        <f t="shared" si="3"/>
        <v>S</v>
      </c>
      <c r="B26" s="54">
        <f t="shared" si="1"/>
        <v>15</v>
      </c>
      <c r="C26" s="79" t="s">
        <v>108</v>
      </c>
      <c r="I26" s="8"/>
      <c r="J26" s="77"/>
    </row>
    <row r="27">
      <c r="A27" s="53" t="str">
        <f>A26</f>
        <v>S</v>
      </c>
      <c r="B27" s="54">
        <f t="shared" si="1"/>
        <v>16</v>
      </c>
      <c r="C27" s="73" t="s">
        <v>109</v>
      </c>
      <c r="I27" s="8"/>
      <c r="J27" s="80"/>
    </row>
    <row r="28">
      <c r="A28" s="49" t="s">
        <v>110</v>
      </c>
      <c r="B28" s="66">
        <f t="shared" si="1"/>
        <v>17</v>
      </c>
      <c r="C28" s="70" t="s">
        <v>111</v>
      </c>
      <c r="D28" s="20"/>
      <c r="E28" s="20"/>
      <c r="F28" s="20"/>
      <c r="G28" s="20"/>
      <c r="H28" s="20"/>
      <c r="I28" s="21"/>
      <c r="J28" s="55">
        <v>2.0</v>
      </c>
    </row>
    <row r="29">
      <c r="A29" s="53" t="s">
        <v>110</v>
      </c>
      <c r="B29" s="81">
        <f t="shared" si="1"/>
        <v>18</v>
      </c>
      <c r="C29" s="82" t="s">
        <v>112</v>
      </c>
      <c r="I29" s="8"/>
      <c r="J29" s="55"/>
    </row>
    <row r="30">
      <c r="A30" s="53" t="s">
        <v>110</v>
      </c>
      <c r="B30" s="81">
        <f t="shared" si="1"/>
        <v>19</v>
      </c>
      <c r="C30" s="82" t="s">
        <v>113</v>
      </c>
      <c r="I30" s="8"/>
      <c r="J30" s="55"/>
    </row>
    <row r="31">
      <c r="A31" s="53" t="s">
        <v>110</v>
      </c>
      <c r="B31" s="81">
        <f t="shared" si="1"/>
        <v>20</v>
      </c>
      <c r="C31" s="83" t="s">
        <v>114</v>
      </c>
      <c r="I31" s="8"/>
      <c r="J31" s="55"/>
    </row>
    <row r="32">
      <c r="A32" s="53" t="s">
        <v>110</v>
      </c>
      <c r="B32" s="81">
        <f t="shared" si="1"/>
        <v>21</v>
      </c>
      <c r="C32" s="84" t="s">
        <v>115</v>
      </c>
      <c r="I32" s="8"/>
      <c r="J32" s="55">
        <v>2.0</v>
      </c>
    </row>
    <row r="33">
      <c r="A33" s="53" t="s">
        <v>110</v>
      </c>
      <c r="B33" s="81">
        <f t="shared" si="1"/>
        <v>22</v>
      </c>
      <c r="C33" s="84" t="s">
        <v>112</v>
      </c>
      <c r="I33" s="8"/>
      <c r="J33" s="55"/>
    </row>
    <row r="34">
      <c r="A34" s="57" t="s">
        <v>110</v>
      </c>
      <c r="B34" s="85">
        <f t="shared" si="1"/>
        <v>23</v>
      </c>
      <c r="C34" s="86" t="s">
        <v>116</v>
      </c>
      <c r="D34" s="13"/>
      <c r="E34" s="13"/>
      <c r="F34" s="13"/>
      <c r="G34" s="13"/>
      <c r="H34" s="13"/>
      <c r="I34" s="14"/>
      <c r="J34" s="56"/>
    </row>
    <row r="35">
      <c r="A35" s="53" t="s">
        <v>91</v>
      </c>
      <c r="B35" s="81">
        <f t="shared" si="1"/>
        <v>24</v>
      </c>
      <c r="C35" s="82" t="s">
        <v>117</v>
      </c>
      <c r="I35" s="8"/>
      <c r="J35" s="77"/>
    </row>
    <row r="36">
      <c r="A36" s="53" t="str">
        <f t="shared" ref="A36:A37" si="4">A35</f>
        <v>G</v>
      </c>
      <c r="B36" s="81">
        <f t="shared" si="1"/>
        <v>25</v>
      </c>
      <c r="C36" s="82" t="s">
        <v>118</v>
      </c>
      <c r="I36" s="8"/>
      <c r="J36" s="77">
        <v>4.0</v>
      </c>
    </row>
    <row r="37">
      <c r="A37" s="57" t="str">
        <f t="shared" si="4"/>
        <v>G</v>
      </c>
      <c r="B37" s="85">
        <f t="shared" si="1"/>
        <v>26</v>
      </c>
      <c r="C37" s="82" t="s">
        <v>119</v>
      </c>
      <c r="I37" s="8"/>
      <c r="J37" s="80"/>
    </row>
    <row r="38">
      <c r="A38" s="49" t="s">
        <v>110</v>
      </c>
      <c r="B38" s="66">
        <f t="shared" si="1"/>
        <v>27</v>
      </c>
      <c r="C38" s="87" t="s">
        <v>120</v>
      </c>
      <c r="D38" s="20"/>
      <c r="E38" s="20"/>
      <c r="F38" s="20"/>
      <c r="G38" s="20"/>
      <c r="H38" s="20"/>
      <c r="I38" s="21"/>
      <c r="J38" s="77"/>
    </row>
    <row r="39">
      <c r="A39" s="49" t="s">
        <v>94</v>
      </c>
      <c r="B39" s="66">
        <f t="shared" si="1"/>
        <v>28</v>
      </c>
      <c r="C39" s="70" t="s">
        <v>121</v>
      </c>
      <c r="D39" s="20"/>
      <c r="E39" s="20"/>
      <c r="F39" s="20"/>
      <c r="G39" s="20"/>
      <c r="H39" s="20"/>
      <c r="I39" s="21"/>
      <c r="J39" s="48"/>
    </row>
    <row r="40">
      <c r="A40" s="53" t="s">
        <v>94</v>
      </c>
      <c r="B40" s="81">
        <f t="shared" si="1"/>
        <v>29</v>
      </c>
      <c r="C40" s="82" t="s">
        <v>122</v>
      </c>
      <c r="I40" s="8"/>
      <c r="J40" s="77"/>
    </row>
    <row r="41">
      <c r="A41" s="53" t="s">
        <v>94</v>
      </c>
      <c r="B41" s="81">
        <f t="shared" si="1"/>
        <v>30</v>
      </c>
      <c r="C41" s="82" t="s">
        <v>123</v>
      </c>
      <c r="I41" s="8"/>
      <c r="J41" s="77"/>
    </row>
    <row r="42">
      <c r="A42" s="53" t="s">
        <v>94</v>
      </c>
      <c r="B42" s="81">
        <f t="shared" si="1"/>
        <v>31</v>
      </c>
      <c r="C42" s="82" t="s">
        <v>124</v>
      </c>
      <c r="I42" s="8"/>
      <c r="J42" s="77"/>
    </row>
    <row r="43">
      <c r="A43" s="53" t="s">
        <v>94</v>
      </c>
      <c r="B43" s="81">
        <f t="shared" si="1"/>
        <v>32</v>
      </c>
      <c r="C43" s="82" t="s">
        <v>125</v>
      </c>
      <c r="I43" s="8"/>
      <c r="J43" s="77"/>
    </row>
    <row r="44">
      <c r="A44" s="53" t="s">
        <v>94</v>
      </c>
      <c r="B44" s="81">
        <f t="shared" si="1"/>
        <v>33</v>
      </c>
      <c r="C44" s="82" t="s">
        <v>126</v>
      </c>
      <c r="I44" s="8"/>
      <c r="J44" s="77"/>
    </row>
    <row r="45">
      <c r="A45" s="53" t="str">
        <f>A44</f>
        <v>F</v>
      </c>
      <c r="B45" s="81">
        <f t="shared" si="1"/>
        <v>34</v>
      </c>
      <c r="C45" s="82" t="s">
        <v>127</v>
      </c>
      <c r="I45" s="8"/>
      <c r="J45" s="74"/>
    </row>
    <row r="46">
      <c r="A46" s="49" t="s">
        <v>128</v>
      </c>
      <c r="B46" s="50">
        <f t="shared" si="1"/>
        <v>35</v>
      </c>
      <c r="C46" s="72" t="s">
        <v>129</v>
      </c>
      <c r="D46" s="20"/>
      <c r="E46" s="20"/>
      <c r="F46" s="20"/>
      <c r="G46" s="20"/>
      <c r="H46" s="20"/>
      <c r="I46" s="21"/>
      <c r="J46" s="55"/>
    </row>
    <row r="47">
      <c r="A47" s="53" t="s">
        <v>128</v>
      </c>
      <c r="B47" s="54">
        <f t="shared" si="1"/>
        <v>36</v>
      </c>
      <c r="C47" s="79" t="s">
        <v>130</v>
      </c>
      <c r="I47" s="8"/>
      <c r="J47" s="55"/>
    </row>
    <row r="48">
      <c r="A48" s="53" t="s">
        <v>128</v>
      </c>
      <c r="B48" s="54">
        <f t="shared" si="1"/>
        <v>37</v>
      </c>
      <c r="C48" s="88" t="s">
        <v>131</v>
      </c>
      <c r="I48" s="8"/>
      <c r="J48" s="52">
        <v>10.0</v>
      </c>
    </row>
    <row r="49">
      <c r="A49" s="57" t="s">
        <v>128</v>
      </c>
      <c r="B49" s="58">
        <f t="shared" si="1"/>
        <v>38</v>
      </c>
      <c r="C49" s="89" t="s">
        <v>132</v>
      </c>
      <c r="D49" s="13"/>
      <c r="E49" s="13"/>
      <c r="F49" s="13"/>
      <c r="G49" s="13"/>
      <c r="H49" s="13"/>
      <c r="I49" s="14"/>
      <c r="J49" s="90"/>
    </row>
    <row r="50">
      <c r="I50" s="61" t="s">
        <v>133</v>
      </c>
      <c r="J50" s="62">
        <f>sum(J13:J49)</f>
        <v>18</v>
      </c>
    </row>
  </sheetData>
  <mergeCells count="49">
    <mergeCell ref="A1:J2"/>
    <mergeCell ref="A3:J3"/>
    <mergeCell ref="A4:J4"/>
    <mergeCell ref="A5:J5"/>
    <mergeCell ref="A6:J6"/>
    <mergeCell ref="A7:J7"/>
    <mergeCell ref="A8:J8"/>
    <mergeCell ref="A9:J9"/>
    <mergeCell ref="A10:B10"/>
    <mergeCell ref="C10:J10"/>
    <mergeCell ref="A11:I1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43:I43"/>
    <mergeCell ref="C44:I44"/>
    <mergeCell ref="C45:I45"/>
    <mergeCell ref="C46:I46"/>
    <mergeCell ref="C47:I47"/>
    <mergeCell ref="C48:I48"/>
    <mergeCell ref="C49:I49"/>
    <mergeCell ref="C36:I36"/>
    <mergeCell ref="C37:I37"/>
    <mergeCell ref="C38:I38"/>
    <mergeCell ref="C39:I39"/>
    <mergeCell ref="C40:I40"/>
    <mergeCell ref="C41:I41"/>
    <mergeCell ref="C42:I42"/>
  </mergeCells>
  <hyperlinks>
    <hyperlink display="Proceed with LFH protocol                                                " location="LFH!A1" ref="C13"/>
    <hyperlink display="Proceed to imaging protocol  and determine the gametophyte density" location="Imaging!A1" ref="C48"/>
    <hyperlink display="Dilute it to 500 gametophytes/ml with PEAS for generic assays" location="'384Assay'!A1" ref="C49"/>
  </hyperlinks>
  <printOptions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.88"/>
    <col customWidth="1" min="3" max="3" width="10.0"/>
    <col customWidth="1" min="4" max="4" width="12.63"/>
    <col customWidth="1" min="6" max="6" width="14.0"/>
    <col customWidth="1" min="7" max="7" width="14.38"/>
    <col customWidth="1" min="10" max="10" width="10.0"/>
  </cols>
  <sheetData>
    <row r="1">
      <c r="A1" s="19" t="s">
        <v>134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91" t="s">
        <v>135</v>
      </c>
      <c r="B3" s="2"/>
      <c r="C3" s="2"/>
      <c r="D3" s="2"/>
      <c r="E3" s="2"/>
      <c r="F3" s="2"/>
      <c r="G3" s="2"/>
      <c r="H3" s="2"/>
      <c r="I3" s="2"/>
      <c r="J3" s="3"/>
    </row>
    <row r="4">
      <c r="A4" s="92" t="s">
        <v>136</v>
      </c>
      <c r="B4" s="13"/>
      <c r="C4" s="13"/>
      <c r="D4" s="13"/>
      <c r="E4" s="13"/>
      <c r="F4" s="13"/>
      <c r="G4" s="13"/>
      <c r="H4" s="13"/>
      <c r="I4" s="13"/>
      <c r="J4" s="14"/>
    </row>
    <row r="5">
      <c r="A5" s="92" t="s">
        <v>137</v>
      </c>
      <c r="B5" s="13"/>
      <c r="C5" s="13"/>
      <c r="D5" s="13"/>
      <c r="E5" s="13"/>
      <c r="F5" s="13"/>
      <c r="G5" s="13"/>
      <c r="H5" s="13"/>
      <c r="I5" s="13"/>
      <c r="J5" s="14"/>
    </row>
    <row r="6">
      <c r="A6" s="92" t="s">
        <v>138</v>
      </c>
      <c r="B6" s="13"/>
      <c r="C6" s="13"/>
      <c r="D6" s="13"/>
      <c r="E6" s="13"/>
      <c r="F6" s="13"/>
      <c r="G6" s="13"/>
      <c r="H6" s="13"/>
      <c r="I6" s="13"/>
      <c r="J6" s="14"/>
    </row>
    <row r="7">
      <c r="A7" s="93" t="s">
        <v>139</v>
      </c>
      <c r="B7" s="13"/>
      <c r="C7" s="13"/>
      <c r="D7" s="13"/>
      <c r="E7" s="13"/>
      <c r="F7" s="13"/>
      <c r="G7" s="13"/>
      <c r="H7" s="13"/>
      <c r="I7" s="13"/>
      <c r="J7" s="14"/>
    </row>
    <row r="8">
      <c r="A8" s="46" t="s">
        <v>70</v>
      </c>
      <c r="B8" s="14"/>
      <c r="C8" s="46" t="s">
        <v>140</v>
      </c>
      <c r="D8" s="13"/>
      <c r="E8" s="13"/>
      <c r="F8" s="13"/>
      <c r="G8" s="13"/>
      <c r="H8" s="13"/>
      <c r="I8" s="13"/>
      <c r="J8" s="14"/>
    </row>
    <row r="9">
      <c r="A9" s="94"/>
      <c r="I9" s="61"/>
      <c r="J9" s="95" t="s">
        <v>141</v>
      </c>
    </row>
    <row r="10">
      <c r="A10" s="49" t="s">
        <v>94</v>
      </c>
      <c r="B10" s="66">
        <v>1.0</v>
      </c>
      <c r="C10" s="67" t="s">
        <v>92</v>
      </c>
      <c r="D10" s="2"/>
      <c r="E10" s="2"/>
      <c r="F10" s="2"/>
      <c r="G10" s="2"/>
      <c r="H10" s="2"/>
      <c r="I10" s="3"/>
      <c r="J10" s="68"/>
    </row>
    <row r="11">
      <c r="A11" s="49" t="s">
        <v>73</v>
      </c>
      <c r="B11" s="66">
        <f t="shared" ref="B11:B31" si="1">B10+1</f>
        <v>2</v>
      </c>
      <c r="C11" s="7" t="s">
        <v>142</v>
      </c>
      <c r="I11" s="8"/>
      <c r="J11" s="69"/>
    </row>
    <row r="12">
      <c r="A12" s="49" t="s">
        <v>143</v>
      </c>
      <c r="B12" s="66">
        <f t="shared" si="1"/>
        <v>3</v>
      </c>
      <c r="C12" s="70" t="s">
        <v>144</v>
      </c>
      <c r="D12" s="20"/>
      <c r="E12" s="20"/>
      <c r="F12" s="20"/>
      <c r="G12" s="20"/>
      <c r="H12" s="20"/>
      <c r="I12" s="21"/>
      <c r="J12" s="62"/>
    </row>
    <row r="13">
      <c r="A13" s="96"/>
      <c r="B13" s="81">
        <f t="shared" si="1"/>
        <v>4</v>
      </c>
      <c r="C13" s="82" t="s">
        <v>145</v>
      </c>
      <c r="I13" s="8"/>
      <c r="J13" s="97"/>
    </row>
    <row r="14">
      <c r="A14" s="96"/>
      <c r="B14" s="81">
        <f t="shared" si="1"/>
        <v>5</v>
      </c>
      <c r="C14" s="82" t="s">
        <v>146</v>
      </c>
      <c r="I14" s="8"/>
      <c r="J14" s="55"/>
    </row>
    <row r="15">
      <c r="A15" s="96"/>
      <c r="B15" s="81">
        <f t="shared" si="1"/>
        <v>6</v>
      </c>
      <c r="C15" s="82" t="s">
        <v>147</v>
      </c>
      <c r="I15" s="8"/>
      <c r="J15" s="55"/>
    </row>
    <row r="16">
      <c r="A16" s="96"/>
      <c r="B16" s="81">
        <f t="shared" si="1"/>
        <v>7</v>
      </c>
      <c r="C16" s="82" t="s">
        <v>148</v>
      </c>
      <c r="I16" s="8"/>
      <c r="J16" s="55"/>
    </row>
    <row r="17">
      <c r="A17" s="96"/>
      <c r="B17" s="81">
        <f t="shared" si="1"/>
        <v>8</v>
      </c>
      <c r="C17" s="82" t="s">
        <v>149</v>
      </c>
      <c r="I17" s="8"/>
      <c r="J17" s="55"/>
    </row>
    <row r="18">
      <c r="A18" s="22"/>
      <c r="B18" s="85">
        <f t="shared" si="1"/>
        <v>9</v>
      </c>
      <c r="C18" s="98" t="s">
        <v>150</v>
      </c>
      <c r="D18" s="13"/>
      <c r="E18" s="13"/>
      <c r="F18" s="13"/>
      <c r="G18" s="13"/>
      <c r="H18" s="13"/>
      <c r="I18" s="14"/>
      <c r="J18" s="55"/>
    </row>
    <row r="19">
      <c r="A19" s="53" t="s">
        <v>94</v>
      </c>
      <c r="B19" s="81">
        <f t="shared" si="1"/>
        <v>10</v>
      </c>
      <c r="C19" s="82" t="s">
        <v>151</v>
      </c>
      <c r="I19" s="8"/>
      <c r="J19" s="77"/>
    </row>
    <row r="20">
      <c r="A20" s="96"/>
      <c r="B20" s="81">
        <f t="shared" si="1"/>
        <v>11</v>
      </c>
      <c r="C20" s="82" t="s">
        <v>152</v>
      </c>
      <c r="I20" s="8"/>
      <c r="J20" s="74"/>
    </row>
    <row r="21">
      <c r="A21" s="96"/>
      <c r="B21" s="81">
        <f t="shared" si="1"/>
        <v>12</v>
      </c>
      <c r="C21" s="82" t="s">
        <v>153</v>
      </c>
      <c r="I21" s="8"/>
      <c r="J21" s="77"/>
    </row>
    <row r="22">
      <c r="A22" s="96"/>
      <c r="B22" s="81">
        <f t="shared" si="1"/>
        <v>13</v>
      </c>
      <c r="C22" s="82" t="s">
        <v>154</v>
      </c>
      <c r="I22" s="8"/>
      <c r="J22" s="77"/>
    </row>
    <row r="23">
      <c r="A23" s="96"/>
      <c r="B23" s="81">
        <f t="shared" si="1"/>
        <v>14</v>
      </c>
      <c r="C23" s="82" t="s">
        <v>155</v>
      </c>
      <c r="I23" s="8"/>
      <c r="J23" s="77"/>
    </row>
    <row r="24">
      <c r="A24" s="96"/>
      <c r="B24" s="81">
        <f t="shared" si="1"/>
        <v>15</v>
      </c>
      <c r="C24" s="82" t="s">
        <v>156</v>
      </c>
      <c r="I24" s="8"/>
      <c r="J24" s="77"/>
    </row>
    <row r="25">
      <c r="A25" s="22"/>
      <c r="B25" s="81">
        <f t="shared" si="1"/>
        <v>16</v>
      </c>
      <c r="C25" s="82" t="s">
        <v>157</v>
      </c>
      <c r="I25" s="8"/>
      <c r="J25" s="77"/>
    </row>
    <row r="26">
      <c r="A26" s="49" t="s">
        <v>158</v>
      </c>
      <c r="B26" s="66">
        <f t="shared" si="1"/>
        <v>17</v>
      </c>
      <c r="C26" s="70" t="s">
        <v>159</v>
      </c>
      <c r="D26" s="20"/>
      <c r="E26" s="20"/>
      <c r="F26" s="20"/>
      <c r="G26" s="20"/>
      <c r="H26" s="20"/>
      <c r="I26" s="21"/>
      <c r="J26" s="55"/>
    </row>
    <row r="27">
      <c r="A27" s="96"/>
      <c r="B27" s="81">
        <f t="shared" si="1"/>
        <v>18</v>
      </c>
      <c r="C27" s="23" t="s">
        <v>160</v>
      </c>
      <c r="I27" s="8"/>
      <c r="J27" s="55"/>
    </row>
    <row r="28">
      <c r="A28" s="96"/>
      <c r="B28" s="81">
        <f t="shared" si="1"/>
        <v>19</v>
      </c>
      <c r="C28" s="23" t="s">
        <v>161</v>
      </c>
      <c r="I28" s="8"/>
      <c r="J28" s="56"/>
    </row>
    <row r="29">
      <c r="A29" s="96"/>
      <c r="B29" s="81">
        <f t="shared" si="1"/>
        <v>20</v>
      </c>
      <c r="C29" s="82" t="s">
        <v>162</v>
      </c>
      <c r="I29" s="8"/>
      <c r="J29" s="90"/>
    </row>
    <row r="30">
      <c r="A30" s="96"/>
      <c r="B30" s="81">
        <f t="shared" si="1"/>
        <v>21</v>
      </c>
      <c r="C30" s="27" t="s">
        <v>163</v>
      </c>
      <c r="I30" s="8"/>
    </row>
    <row r="31">
      <c r="A31" s="22"/>
      <c r="B31" s="81">
        <f t="shared" si="1"/>
        <v>22</v>
      </c>
      <c r="C31" s="99" t="s">
        <v>164</v>
      </c>
      <c r="D31" s="13"/>
      <c r="E31" s="13"/>
      <c r="F31" s="13"/>
      <c r="G31" s="13"/>
      <c r="H31" s="13"/>
      <c r="I31" s="14"/>
    </row>
    <row r="32">
      <c r="I32" s="23" t="s">
        <v>165</v>
      </c>
      <c r="J32" s="100">
        <f>sum(J13:J29)</f>
        <v>0</v>
      </c>
    </row>
  </sheetData>
  <mergeCells count="34">
    <mergeCell ref="A1:J2"/>
    <mergeCell ref="A3:J3"/>
    <mergeCell ref="A4:J4"/>
    <mergeCell ref="A5:J5"/>
    <mergeCell ref="A6:J6"/>
    <mergeCell ref="A7:J7"/>
    <mergeCell ref="A8:B8"/>
    <mergeCell ref="C14:I14"/>
    <mergeCell ref="C15:I15"/>
    <mergeCell ref="C16:I16"/>
    <mergeCell ref="C17:I17"/>
    <mergeCell ref="A12:A18"/>
    <mergeCell ref="A19:A25"/>
    <mergeCell ref="A26:A31"/>
    <mergeCell ref="C8:J8"/>
    <mergeCell ref="A9:H9"/>
    <mergeCell ref="C10:I10"/>
    <mergeCell ref="C11:I11"/>
    <mergeCell ref="C12:I12"/>
    <mergeCell ref="C13:I13"/>
    <mergeCell ref="C18:I18"/>
    <mergeCell ref="C26:I26"/>
    <mergeCell ref="C27:I27"/>
    <mergeCell ref="C28:I28"/>
    <mergeCell ref="C29:I29"/>
    <mergeCell ref="C30:I30"/>
    <mergeCell ref="C31:I31"/>
    <mergeCell ref="C19:I19"/>
    <mergeCell ref="C20:I20"/>
    <mergeCell ref="C21:I21"/>
    <mergeCell ref="C22:I22"/>
    <mergeCell ref="C23:I23"/>
    <mergeCell ref="C24:I24"/>
    <mergeCell ref="C25:I25"/>
  </mergeCells>
  <hyperlinks>
    <hyperlink display="Proceed with LFH protocol                                                " location="LFH!A1" ref="C11"/>
    <hyperlink display="When visible, sample the gametophytes tufts and proceed with Frag-Filt, Assay and/or DTE" location="'Frag-Filt'!A1" ref="C31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4.63"/>
    <col customWidth="1" min="3" max="3" width="8.38"/>
    <col customWidth="1" min="4" max="4" width="11.13"/>
    <col customWidth="1" min="5" max="5" width="11.75"/>
    <col customWidth="1" min="6" max="6" width="10.38"/>
    <col customWidth="1" min="8" max="8" width="10.13"/>
    <col customWidth="1" min="9" max="9" width="10.38"/>
    <col customWidth="1" min="10" max="10" width="8.5"/>
  </cols>
  <sheetData>
    <row r="1">
      <c r="A1" s="19" t="s">
        <v>166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40" t="s">
        <v>65</v>
      </c>
      <c r="B3" s="20"/>
      <c r="C3" s="20"/>
      <c r="D3" s="20"/>
      <c r="E3" s="20"/>
      <c r="F3" s="20"/>
      <c r="G3" s="20"/>
      <c r="H3" s="20"/>
      <c r="I3" s="20"/>
      <c r="J3" s="21"/>
    </row>
    <row r="4">
      <c r="A4" s="41" t="s">
        <v>167</v>
      </c>
      <c r="B4" s="20"/>
      <c r="C4" s="20"/>
      <c r="D4" s="20"/>
      <c r="E4" s="20"/>
      <c r="F4" s="20"/>
      <c r="G4" s="20"/>
      <c r="H4" s="20"/>
      <c r="I4" s="20"/>
      <c r="J4" s="21"/>
    </row>
    <row r="5">
      <c r="A5" s="42" t="s">
        <v>168</v>
      </c>
      <c r="J5" s="8"/>
    </row>
    <row r="6">
      <c r="A6" s="42" t="s">
        <v>169</v>
      </c>
      <c r="J6" s="8"/>
    </row>
    <row r="7">
      <c r="A7" s="43" t="s">
        <v>170</v>
      </c>
      <c r="J7" s="8"/>
    </row>
    <row r="8">
      <c r="A8" s="64" t="s">
        <v>171</v>
      </c>
      <c r="J8" s="8"/>
    </row>
    <row r="9">
      <c r="A9" s="64"/>
      <c r="J9" s="8"/>
    </row>
    <row r="10">
      <c r="A10" s="101" t="s">
        <v>172</v>
      </c>
      <c r="B10" s="20"/>
      <c r="C10" s="20"/>
      <c r="D10" s="20"/>
      <c r="E10" s="20"/>
      <c r="F10" s="20"/>
      <c r="G10" s="20"/>
      <c r="H10" s="20"/>
      <c r="I10" s="20"/>
      <c r="J10" s="21"/>
    </row>
    <row r="11">
      <c r="A11" s="46" t="s">
        <v>173</v>
      </c>
      <c r="B11" s="13"/>
      <c r="C11" s="13"/>
      <c r="D11" s="13"/>
      <c r="E11" s="13"/>
      <c r="F11" s="13"/>
      <c r="G11" s="13"/>
      <c r="H11" s="13"/>
      <c r="I11" s="13"/>
      <c r="J11" s="14"/>
    </row>
    <row r="12">
      <c r="A12" s="102" t="s">
        <v>70</v>
      </c>
      <c r="B12" s="8"/>
      <c r="C12" s="94"/>
      <c r="J12" s="103" t="s">
        <v>72</v>
      </c>
    </row>
    <row r="13">
      <c r="A13" s="49" t="s">
        <v>174</v>
      </c>
      <c r="B13" s="66">
        <v>1.0</v>
      </c>
      <c r="C13" s="104" t="s">
        <v>175</v>
      </c>
      <c r="D13" s="20"/>
      <c r="E13" s="20"/>
      <c r="F13" s="20"/>
      <c r="G13" s="20"/>
      <c r="H13" s="20"/>
      <c r="I13" s="20"/>
      <c r="J13" s="48"/>
    </row>
    <row r="14">
      <c r="A14" s="53" t="s">
        <v>174</v>
      </c>
      <c r="B14" s="81">
        <f t="shared" ref="B14:B31" si="1">B13+1</f>
        <v>2</v>
      </c>
      <c r="C14" s="23" t="s">
        <v>176</v>
      </c>
      <c r="J14" s="77"/>
    </row>
    <row r="15">
      <c r="A15" s="53" t="s">
        <v>73</v>
      </c>
      <c r="B15" s="81">
        <f t="shared" si="1"/>
        <v>3</v>
      </c>
      <c r="C15" s="7" t="s">
        <v>177</v>
      </c>
      <c r="I15" s="8"/>
      <c r="J15" s="74"/>
    </row>
    <row r="16">
      <c r="A16" s="49" t="s">
        <v>128</v>
      </c>
      <c r="B16" s="66">
        <f t="shared" si="1"/>
        <v>4</v>
      </c>
      <c r="C16" s="70" t="s">
        <v>178</v>
      </c>
      <c r="D16" s="20"/>
      <c r="E16" s="20"/>
      <c r="F16" s="20"/>
      <c r="G16" s="20"/>
      <c r="H16" s="20"/>
      <c r="I16" s="21"/>
      <c r="J16" s="52"/>
    </row>
    <row r="17">
      <c r="A17" s="53" t="s">
        <v>128</v>
      </c>
      <c r="B17" s="81">
        <f t="shared" si="1"/>
        <v>5</v>
      </c>
      <c r="C17" s="105" t="s">
        <v>179</v>
      </c>
      <c r="I17" s="8"/>
      <c r="J17" s="55"/>
    </row>
    <row r="18">
      <c r="A18" s="53" t="s">
        <v>128</v>
      </c>
      <c r="B18" s="81">
        <f t="shared" si="1"/>
        <v>6</v>
      </c>
      <c r="C18" s="82" t="s">
        <v>180</v>
      </c>
      <c r="I18" s="8"/>
      <c r="J18" s="55">
        <v>15.0</v>
      </c>
    </row>
    <row r="19">
      <c r="A19" s="53" t="s">
        <v>128</v>
      </c>
      <c r="B19" s="81">
        <f t="shared" si="1"/>
        <v>7</v>
      </c>
      <c r="C19" s="82" t="s">
        <v>181</v>
      </c>
      <c r="I19" s="8"/>
      <c r="J19" s="55">
        <v>1.0</v>
      </c>
    </row>
    <row r="20">
      <c r="A20" s="53" t="s">
        <v>128</v>
      </c>
      <c r="B20" s="81">
        <f t="shared" si="1"/>
        <v>8</v>
      </c>
      <c r="C20" s="82" t="s">
        <v>182</v>
      </c>
      <c r="I20" s="8"/>
      <c r="J20" s="55"/>
    </row>
    <row r="21">
      <c r="A21" s="53" t="s">
        <v>128</v>
      </c>
      <c r="B21" s="81">
        <f t="shared" si="1"/>
        <v>9</v>
      </c>
      <c r="C21" s="23" t="s">
        <v>183</v>
      </c>
      <c r="I21" s="8"/>
      <c r="J21" s="55"/>
    </row>
    <row r="22">
      <c r="A22" s="106" t="s">
        <v>143</v>
      </c>
      <c r="B22" s="66">
        <f t="shared" si="1"/>
        <v>10</v>
      </c>
      <c r="C22" s="51" t="s">
        <v>184</v>
      </c>
      <c r="D22" s="20"/>
      <c r="E22" s="20"/>
      <c r="F22" s="20"/>
      <c r="G22" s="20"/>
      <c r="H22" s="20"/>
      <c r="I22" s="21"/>
      <c r="J22" s="52"/>
    </row>
    <row r="23">
      <c r="A23" s="107" t="s">
        <v>143</v>
      </c>
      <c r="B23" s="81">
        <f t="shared" si="1"/>
        <v>11</v>
      </c>
      <c r="C23" s="23" t="s">
        <v>185</v>
      </c>
      <c r="I23" s="8"/>
      <c r="J23" s="55"/>
    </row>
    <row r="24">
      <c r="A24" s="107" t="s">
        <v>143</v>
      </c>
      <c r="B24" s="81">
        <f t="shared" si="1"/>
        <v>12</v>
      </c>
      <c r="C24" s="23" t="s">
        <v>186</v>
      </c>
      <c r="I24" s="8"/>
      <c r="J24" s="55"/>
    </row>
    <row r="25">
      <c r="A25" s="107" t="s">
        <v>143</v>
      </c>
      <c r="B25" s="81">
        <f t="shared" si="1"/>
        <v>13</v>
      </c>
      <c r="C25" s="23" t="s">
        <v>187</v>
      </c>
      <c r="I25" s="8"/>
      <c r="J25" s="55">
        <v>1.0</v>
      </c>
    </row>
    <row r="26">
      <c r="A26" s="107" t="s">
        <v>143</v>
      </c>
      <c r="B26" s="81">
        <f t="shared" si="1"/>
        <v>14</v>
      </c>
      <c r="C26" s="23" t="s">
        <v>188</v>
      </c>
      <c r="I26" s="8"/>
      <c r="J26" s="55"/>
    </row>
    <row r="27">
      <c r="A27" s="107" t="s">
        <v>143</v>
      </c>
      <c r="B27" s="81">
        <f t="shared" si="1"/>
        <v>15</v>
      </c>
      <c r="C27" s="82" t="s">
        <v>189</v>
      </c>
      <c r="I27" s="8"/>
      <c r="J27" s="55"/>
    </row>
    <row r="28">
      <c r="A28" s="107" t="s">
        <v>143</v>
      </c>
      <c r="B28" s="81">
        <f t="shared" si="1"/>
        <v>16</v>
      </c>
      <c r="C28" s="82" t="s">
        <v>190</v>
      </c>
      <c r="I28" s="8"/>
      <c r="J28" s="55">
        <v>5.0</v>
      </c>
    </row>
    <row r="29">
      <c r="A29" s="107" t="s">
        <v>143</v>
      </c>
      <c r="B29" s="81">
        <f t="shared" si="1"/>
        <v>17</v>
      </c>
      <c r="C29" s="82" t="s">
        <v>191</v>
      </c>
      <c r="I29" s="8"/>
      <c r="J29" s="55"/>
    </row>
    <row r="30">
      <c r="A30" s="107" t="s">
        <v>143</v>
      </c>
      <c r="B30" s="81">
        <f t="shared" si="1"/>
        <v>18</v>
      </c>
      <c r="C30" s="82" t="s">
        <v>181</v>
      </c>
      <c r="I30" s="8"/>
      <c r="J30" s="55">
        <v>1.0</v>
      </c>
    </row>
    <row r="31">
      <c r="A31" s="108" t="s">
        <v>143</v>
      </c>
      <c r="B31" s="85">
        <f t="shared" si="1"/>
        <v>19</v>
      </c>
      <c r="C31" s="59" t="s">
        <v>192</v>
      </c>
      <c r="D31" s="13"/>
      <c r="E31" s="13"/>
      <c r="F31" s="13"/>
      <c r="G31" s="13"/>
      <c r="H31" s="13"/>
      <c r="I31" s="14"/>
      <c r="J31" s="90"/>
    </row>
    <row r="32">
      <c r="A32" s="107" t="s">
        <v>193</v>
      </c>
      <c r="J32" s="8"/>
    </row>
    <row r="33">
      <c r="A33" s="106" t="s">
        <v>194</v>
      </c>
      <c r="B33" s="66">
        <v>1.0</v>
      </c>
      <c r="C33" s="51" t="s">
        <v>195</v>
      </c>
      <c r="D33" s="20"/>
      <c r="E33" s="20"/>
      <c r="F33" s="20"/>
      <c r="G33" s="20"/>
      <c r="H33" s="20"/>
      <c r="I33" s="21"/>
      <c r="J33" s="71"/>
    </row>
    <row r="34">
      <c r="A34" s="107" t="s">
        <v>194</v>
      </c>
      <c r="B34" s="81">
        <f t="shared" ref="B34:B44" si="2">B33+1</f>
        <v>2</v>
      </c>
      <c r="C34" s="23" t="s">
        <v>196</v>
      </c>
      <c r="I34" s="8"/>
      <c r="J34" s="74"/>
    </row>
    <row r="35">
      <c r="A35" s="107" t="s">
        <v>194</v>
      </c>
      <c r="B35" s="81">
        <f t="shared" si="2"/>
        <v>3</v>
      </c>
      <c r="C35" s="23" t="s">
        <v>197</v>
      </c>
      <c r="I35" s="8"/>
      <c r="J35" s="74"/>
    </row>
    <row r="36">
      <c r="A36" s="107" t="s">
        <v>194</v>
      </c>
      <c r="B36" s="81">
        <f t="shared" si="2"/>
        <v>4</v>
      </c>
      <c r="C36" s="82" t="s">
        <v>198</v>
      </c>
      <c r="I36" s="8"/>
      <c r="J36" s="74"/>
    </row>
    <row r="37">
      <c r="A37" s="107" t="s">
        <v>194</v>
      </c>
      <c r="B37" s="81">
        <f t="shared" si="2"/>
        <v>5</v>
      </c>
      <c r="C37" s="82" t="s">
        <v>190</v>
      </c>
      <c r="I37" s="8"/>
      <c r="J37" s="74"/>
    </row>
    <row r="38">
      <c r="A38" s="107" t="s">
        <v>194</v>
      </c>
      <c r="B38" s="81">
        <f t="shared" si="2"/>
        <v>6</v>
      </c>
      <c r="C38" s="82" t="s">
        <v>199</v>
      </c>
      <c r="I38" s="8"/>
      <c r="J38" s="74"/>
    </row>
    <row r="39">
      <c r="A39" s="107" t="s">
        <v>194</v>
      </c>
      <c r="B39" s="81">
        <f t="shared" si="2"/>
        <v>7</v>
      </c>
      <c r="C39" s="82" t="s">
        <v>200</v>
      </c>
      <c r="I39" s="8"/>
      <c r="J39" s="77">
        <v>1.0</v>
      </c>
    </row>
    <row r="40">
      <c r="A40" s="107" t="s">
        <v>194</v>
      </c>
      <c r="B40" s="81">
        <f t="shared" si="2"/>
        <v>8</v>
      </c>
      <c r="C40" s="105" t="s">
        <v>201</v>
      </c>
      <c r="I40" s="8"/>
      <c r="J40" s="74"/>
    </row>
    <row r="41">
      <c r="A41" s="108" t="s">
        <v>194</v>
      </c>
      <c r="B41" s="85">
        <f t="shared" si="2"/>
        <v>9</v>
      </c>
      <c r="C41" s="59" t="s">
        <v>192</v>
      </c>
      <c r="D41" s="13"/>
      <c r="E41" s="13"/>
      <c r="F41" s="13"/>
      <c r="G41" s="13"/>
      <c r="H41" s="13"/>
      <c r="I41" s="14"/>
      <c r="J41" s="109"/>
    </row>
    <row r="42">
      <c r="A42" s="107" t="s">
        <v>202</v>
      </c>
      <c r="B42" s="81">
        <f t="shared" si="2"/>
        <v>10</v>
      </c>
      <c r="C42" s="110" t="s">
        <v>203</v>
      </c>
      <c r="D42" s="2"/>
      <c r="E42" s="2"/>
      <c r="F42" s="2"/>
      <c r="G42" s="2"/>
      <c r="H42" s="2"/>
      <c r="I42" s="3"/>
      <c r="J42" s="111"/>
    </row>
    <row r="43">
      <c r="A43" s="106" t="s">
        <v>204</v>
      </c>
      <c r="B43" s="66">
        <f t="shared" si="2"/>
        <v>11</v>
      </c>
      <c r="C43" s="104" t="s">
        <v>205</v>
      </c>
      <c r="D43" s="20"/>
      <c r="E43" s="20"/>
      <c r="F43" s="20"/>
      <c r="G43" s="20"/>
      <c r="H43" s="20"/>
      <c r="I43" s="21"/>
      <c r="J43" s="48">
        <v>1.0</v>
      </c>
    </row>
    <row r="44">
      <c r="A44" s="112" t="s">
        <v>206</v>
      </c>
      <c r="B44" s="113">
        <f t="shared" si="2"/>
        <v>12</v>
      </c>
      <c r="C44" s="114" t="s">
        <v>207</v>
      </c>
      <c r="D44" s="2"/>
      <c r="E44" s="2"/>
      <c r="F44" s="2"/>
      <c r="G44" s="2"/>
      <c r="H44" s="2"/>
      <c r="I44" s="2"/>
      <c r="J44" s="3"/>
    </row>
    <row r="45">
      <c r="I45" s="115" t="s">
        <v>165</v>
      </c>
      <c r="J45" s="116">
        <f>sum(J15:J44)</f>
        <v>25</v>
      </c>
    </row>
  </sheetData>
  <mergeCells count="44">
    <mergeCell ref="A1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2:B12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A32:J32"/>
    <mergeCell ref="C33:I33"/>
    <mergeCell ref="C34:I34"/>
    <mergeCell ref="C35:I35"/>
    <mergeCell ref="C43:I43"/>
    <mergeCell ref="C44:J44"/>
    <mergeCell ref="C36:I36"/>
    <mergeCell ref="C37:I37"/>
    <mergeCell ref="C38:I38"/>
    <mergeCell ref="C39:I39"/>
    <mergeCell ref="C40:I40"/>
    <mergeCell ref="C41:I41"/>
    <mergeCell ref="C42:I42"/>
  </mergeCells>
  <hyperlinks>
    <hyperlink display="If isolating from gametophytes, do the &quot;Frag-Filt&quot; protocol first then start on step 10" location="'Frag-Filt'!A1" ref="C13"/>
    <hyperlink display="Proceed with LFH protocol                                                " location="LFH!A1" ref="C15"/>
    <hyperlink display="Proceed with the &quot;Imaging&quot; protocol to detect fluorescent cells and singlet wells" location="Imaging!A1" ref="C42"/>
    <hyperlink display="Proceed with &quot;Refresh&quot; protocol every 30 days" location="Refresh!A1" ref="C43"/>
    <hyperlink display="When tufts reach a visible size, proceed to &quot;harvest&quot; protocol" location="Harvest!A1" ref="C44"/>
  </hyperlinks>
  <printOptions horizontalCentered="1"/>
  <pageMargins bottom="0.05" footer="0.0" header="0.0" left="0.05" right="0.05" top="0.6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4.63"/>
    <col customWidth="1" min="3" max="3" width="8.38"/>
    <col customWidth="1" min="4" max="4" width="11.13"/>
    <col customWidth="1" min="5" max="5" width="11.75"/>
    <col customWidth="1" min="6" max="6" width="10.38"/>
    <col customWidth="1" min="8" max="8" width="10.13"/>
    <col customWidth="1" min="9" max="9" width="10.38"/>
    <col customWidth="1" min="10" max="10" width="8.5"/>
  </cols>
  <sheetData>
    <row r="1">
      <c r="A1" s="19" t="s">
        <v>208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40" t="s">
        <v>65</v>
      </c>
      <c r="B3" s="20"/>
      <c r="C3" s="20"/>
      <c r="D3" s="20"/>
      <c r="E3" s="20"/>
      <c r="F3" s="20"/>
      <c r="G3" s="20"/>
      <c r="H3" s="20"/>
      <c r="I3" s="20"/>
      <c r="J3" s="21"/>
    </row>
    <row r="4">
      <c r="A4" s="41" t="s">
        <v>209</v>
      </c>
      <c r="B4" s="20"/>
      <c r="C4" s="20"/>
      <c r="D4" s="20"/>
      <c r="E4" s="20"/>
      <c r="F4" s="20"/>
      <c r="G4" s="20"/>
      <c r="H4" s="20"/>
      <c r="I4" s="20"/>
      <c r="J4" s="21"/>
    </row>
    <row r="5">
      <c r="A5" s="42" t="s">
        <v>210</v>
      </c>
      <c r="J5" s="8"/>
    </row>
    <row r="6">
      <c r="A6" s="42" t="s">
        <v>211</v>
      </c>
      <c r="J6" s="8"/>
    </row>
    <row r="7">
      <c r="A7" s="43" t="s">
        <v>212</v>
      </c>
      <c r="J7" s="8"/>
    </row>
    <row r="8">
      <c r="A8" s="117" t="s">
        <v>213</v>
      </c>
      <c r="B8" s="13"/>
      <c r="C8" s="13"/>
      <c r="D8" s="13"/>
      <c r="E8" s="13"/>
      <c r="F8" s="13"/>
      <c r="G8" s="13"/>
      <c r="H8" s="13"/>
      <c r="I8" s="13"/>
      <c r="J8" s="14"/>
    </row>
    <row r="9">
      <c r="A9" s="64"/>
      <c r="J9" s="8"/>
    </row>
    <row r="10">
      <c r="A10" s="101" t="s">
        <v>214</v>
      </c>
      <c r="B10" s="20"/>
      <c r="C10" s="20"/>
      <c r="D10" s="20"/>
      <c r="E10" s="20"/>
      <c r="F10" s="20"/>
      <c r="G10" s="20"/>
      <c r="H10" s="20"/>
      <c r="I10" s="20"/>
      <c r="J10" s="21"/>
    </row>
    <row r="11">
      <c r="A11" s="46" t="s">
        <v>215</v>
      </c>
      <c r="B11" s="13"/>
      <c r="C11" s="13"/>
      <c r="D11" s="13"/>
      <c r="E11" s="13"/>
      <c r="F11" s="13"/>
      <c r="G11" s="13"/>
      <c r="H11" s="13"/>
      <c r="I11" s="13"/>
      <c r="J11" s="14"/>
    </row>
    <row r="12">
      <c r="A12" s="102" t="s">
        <v>70</v>
      </c>
      <c r="B12" s="8"/>
      <c r="C12" s="94"/>
      <c r="J12" s="103" t="s">
        <v>72</v>
      </c>
    </row>
    <row r="13">
      <c r="A13" s="118" t="s">
        <v>73</v>
      </c>
      <c r="B13" s="119">
        <v>1.0</v>
      </c>
      <c r="C13" s="104" t="s">
        <v>216</v>
      </c>
      <c r="D13" s="20"/>
      <c r="E13" s="20"/>
      <c r="F13" s="20"/>
      <c r="G13" s="20"/>
      <c r="H13" s="20"/>
      <c r="I13" s="20"/>
      <c r="J13" s="48"/>
    </row>
    <row r="14">
      <c r="A14" s="57" t="s">
        <v>217</v>
      </c>
      <c r="B14" s="85">
        <f t="shared" ref="B14:B32" si="1">B13+1</f>
        <v>2</v>
      </c>
      <c r="C14" s="99" t="s">
        <v>218</v>
      </c>
      <c r="D14" s="13"/>
      <c r="E14" s="13"/>
      <c r="F14" s="13"/>
      <c r="G14" s="13"/>
      <c r="H14" s="13"/>
      <c r="I14" s="14"/>
      <c r="J14" s="74"/>
    </row>
    <row r="15">
      <c r="A15" s="53" t="s">
        <v>128</v>
      </c>
      <c r="B15" s="81">
        <f t="shared" si="1"/>
        <v>3</v>
      </c>
      <c r="C15" s="70" t="s">
        <v>219</v>
      </c>
      <c r="D15" s="20"/>
      <c r="E15" s="20"/>
      <c r="F15" s="20"/>
      <c r="G15" s="20"/>
      <c r="H15" s="20"/>
      <c r="I15" s="21"/>
      <c r="J15" s="52"/>
    </row>
    <row r="16">
      <c r="A16" s="53" t="s">
        <v>128</v>
      </c>
      <c r="B16" s="81">
        <f t="shared" si="1"/>
        <v>4</v>
      </c>
      <c r="C16" s="105" t="s">
        <v>220</v>
      </c>
      <c r="I16" s="8"/>
      <c r="J16" s="55"/>
    </row>
    <row r="17">
      <c r="A17" s="53" t="s">
        <v>128</v>
      </c>
      <c r="B17" s="81">
        <f t="shared" si="1"/>
        <v>5</v>
      </c>
      <c r="C17" s="82" t="s">
        <v>180</v>
      </c>
      <c r="I17" s="8"/>
      <c r="J17" s="55">
        <v>15.0</v>
      </c>
    </row>
    <row r="18">
      <c r="A18" s="53" t="s">
        <v>128</v>
      </c>
      <c r="B18" s="81">
        <f t="shared" si="1"/>
        <v>6</v>
      </c>
      <c r="C18" s="120" t="s">
        <v>221</v>
      </c>
      <c r="I18" s="8"/>
      <c r="J18" s="55"/>
    </row>
    <row r="19">
      <c r="A19" s="53" t="s">
        <v>128</v>
      </c>
      <c r="B19" s="81">
        <f t="shared" si="1"/>
        <v>7</v>
      </c>
      <c r="C19" s="7" t="s">
        <v>222</v>
      </c>
      <c r="I19" s="8"/>
      <c r="J19" s="55"/>
    </row>
    <row r="20">
      <c r="A20" s="57" t="s">
        <v>128</v>
      </c>
      <c r="B20" s="85">
        <f t="shared" si="1"/>
        <v>8</v>
      </c>
      <c r="C20" s="23" t="s">
        <v>223</v>
      </c>
      <c r="I20" s="8"/>
      <c r="J20" s="60"/>
    </row>
    <row r="21">
      <c r="A21" s="107" t="s">
        <v>143</v>
      </c>
      <c r="B21" s="54">
        <f t="shared" si="1"/>
        <v>9</v>
      </c>
      <c r="C21" s="121" t="s">
        <v>224</v>
      </c>
      <c r="D21" s="20"/>
      <c r="E21" s="20"/>
      <c r="F21" s="20"/>
      <c r="G21" s="20"/>
      <c r="H21" s="20"/>
      <c r="I21" s="21"/>
      <c r="J21" s="55"/>
    </row>
    <row r="22">
      <c r="A22" s="107" t="s">
        <v>143</v>
      </c>
      <c r="B22" s="54">
        <f t="shared" si="1"/>
        <v>10</v>
      </c>
      <c r="C22" s="122" t="s">
        <v>225</v>
      </c>
      <c r="I22" s="8"/>
      <c r="J22" s="55"/>
    </row>
    <row r="23">
      <c r="A23" s="107" t="s">
        <v>143</v>
      </c>
      <c r="B23" s="54">
        <f t="shared" si="1"/>
        <v>11</v>
      </c>
      <c r="C23" s="122" t="s">
        <v>226</v>
      </c>
      <c r="I23" s="8"/>
      <c r="J23" s="55"/>
    </row>
    <row r="24">
      <c r="A24" s="107" t="s">
        <v>143</v>
      </c>
      <c r="B24" s="54">
        <f t="shared" si="1"/>
        <v>12</v>
      </c>
      <c r="C24" s="122" t="s">
        <v>227</v>
      </c>
      <c r="I24" s="8"/>
      <c r="J24" s="55">
        <v>1.0</v>
      </c>
    </row>
    <row r="25">
      <c r="A25" s="107" t="s">
        <v>143</v>
      </c>
      <c r="B25" s="54">
        <f t="shared" si="1"/>
        <v>13</v>
      </c>
      <c r="C25" s="122" t="s">
        <v>228</v>
      </c>
      <c r="I25" s="8"/>
      <c r="J25" s="55"/>
    </row>
    <row r="26">
      <c r="A26" s="107" t="s">
        <v>143</v>
      </c>
      <c r="B26" s="54">
        <f t="shared" si="1"/>
        <v>14</v>
      </c>
      <c r="C26" s="123" t="s">
        <v>229</v>
      </c>
      <c r="I26" s="8"/>
      <c r="J26" s="55"/>
    </row>
    <row r="27">
      <c r="A27" s="107" t="s">
        <v>143</v>
      </c>
      <c r="B27" s="54">
        <f t="shared" si="1"/>
        <v>15</v>
      </c>
      <c r="C27" s="79" t="s">
        <v>230</v>
      </c>
      <c r="I27" s="8"/>
      <c r="J27" s="55"/>
    </row>
    <row r="28">
      <c r="A28" s="107" t="s">
        <v>143</v>
      </c>
      <c r="B28" s="54">
        <f t="shared" si="1"/>
        <v>16</v>
      </c>
      <c r="C28" s="82" t="s">
        <v>190</v>
      </c>
      <c r="I28" s="8"/>
      <c r="J28" s="55">
        <v>15.0</v>
      </c>
    </row>
    <row r="29">
      <c r="A29" s="107" t="s">
        <v>143</v>
      </c>
      <c r="B29" s="54">
        <f t="shared" si="1"/>
        <v>17</v>
      </c>
      <c r="C29" s="79" t="s">
        <v>181</v>
      </c>
      <c r="I29" s="8"/>
      <c r="J29" s="55">
        <v>1.0</v>
      </c>
    </row>
    <row r="30">
      <c r="A30" s="108" t="s">
        <v>143</v>
      </c>
      <c r="B30" s="54">
        <f t="shared" si="1"/>
        <v>18</v>
      </c>
      <c r="C30" s="124" t="s">
        <v>192</v>
      </c>
      <c r="D30" s="13"/>
      <c r="E30" s="13"/>
      <c r="F30" s="13"/>
      <c r="G30" s="13"/>
      <c r="H30" s="13"/>
      <c r="I30" s="14"/>
      <c r="J30" s="90"/>
    </row>
    <row r="31">
      <c r="A31" s="106" t="s">
        <v>202</v>
      </c>
      <c r="B31" s="66">
        <f t="shared" si="1"/>
        <v>19</v>
      </c>
      <c r="C31" s="88" t="s">
        <v>231</v>
      </c>
      <c r="I31" s="8"/>
      <c r="J31" s="56"/>
    </row>
    <row r="32">
      <c r="A32" s="108" t="s">
        <v>204</v>
      </c>
      <c r="B32" s="85">
        <f t="shared" si="1"/>
        <v>20</v>
      </c>
      <c r="C32" s="125" t="s">
        <v>232</v>
      </c>
      <c r="D32" s="13"/>
      <c r="E32" s="13"/>
      <c r="F32" s="13"/>
      <c r="G32" s="13"/>
      <c r="H32" s="13"/>
      <c r="I32" s="14"/>
      <c r="J32" s="55">
        <v>1.0</v>
      </c>
    </row>
    <row r="33">
      <c r="I33" s="126" t="s">
        <v>165</v>
      </c>
      <c r="J33" s="127">
        <f>sum(J14:J32)</f>
        <v>33</v>
      </c>
    </row>
  </sheetData>
  <mergeCells count="32">
    <mergeCell ref="A1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2:B12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9:I29"/>
    <mergeCell ref="C30:I30"/>
    <mergeCell ref="C31:I31"/>
    <mergeCell ref="C32:I32"/>
    <mergeCell ref="C22:I22"/>
    <mergeCell ref="C23:I23"/>
    <mergeCell ref="C24:I24"/>
    <mergeCell ref="C25:I25"/>
    <mergeCell ref="C26:I26"/>
    <mergeCell ref="C27:I27"/>
    <mergeCell ref="C28:I28"/>
  </mergeCells>
  <hyperlinks>
    <hyperlink display="Proceed with LFH protocol changing centrifuge rotor to microtubes                           " location="LFH!A1" ref="C13"/>
    <hyperlink display="Perform the &quot;Frag-Filt&quot; protocol using 1 1mm tuft to make few wells of a 384WP" location="'Frag-Filt'!A1" ref="C14"/>
    <hyperlink display="Photograph the wells and count the spores using the &quot;Imaging&quot; protocol" location="Imaging!A1" ref="C18"/>
    <hyperlink display="Take photos to PC and proceed with &quot;Labkit&quot; protocol" location="LabKit!A1" ref="C19"/>
    <hyperlink display="Proceed with the &quot;Imaging&quot; protocol to detect fragments size" location="Imaging!A1" ref="C31"/>
    <hyperlink display="Proceed with &quot;Refresh&quot; protocol every 30 days if needed" location="Refresh!A1" ref="C32"/>
  </hyperlinks>
  <printOptions horizontalCentered="1"/>
  <pageMargins bottom="0.05" footer="0.0" header="0.0" left="0.05" right="0.05" top="0.6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.88"/>
    <col customWidth="1" min="4" max="4" width="16.13"/>
    <col customWidth="1" min="5" max="5" width="16.5"/>
    <col customWidth="1" min="8" max="8" width="17.63"/>
    <col customWidth="1" min="9" max="9" width="4.13"/>
  </cols>
  <sheetData>
    <row r="1" ht="12.0" customHeight="1">
      <c r="A1" s="19" t="s">
        <v>233</v>
      </c>
      <c r="B1" s="20"/>
      <c r="C1" s="20"/>
      <c r="D1" s="20"/>
      <c r="E1" s="20"/>
      <c r="F1" s="20"/>
      <c r="G1" s="20"/>
      <c r="H1" s="20"/>
      <c r="I1" s="21"/>
    </row>
    <row r="2" ht="9.0" customHeight="1">
      <c r="A2" s="22"/>
      <c r="B2" s="13"/>
      <c r="C2" s="13"/>
      <c r="D2" s="13"/>
      <c r="E2" s="13"/>
      <c r="F2" s="13"/>
      <c r="G2" s="13"/>
      <c r="H2" s="13"/>
      <c r="I2" s="14"/>
    </row>
    <row r="3">
      <c r="A3" s="40" t="s">
        <v>65</v>
      </c>
      <c r="B3" s="20"/>
      <c r="C3" s="20"/>
      <c r="D3" s="20"/>
      <c r="E3" s="20"/>
      <c r="F3" s="20"/>
      <c r="G3" s="20"/>
      <c r="H3" s="20"/>
      <c r="I3" s="21"/>
    </row>
    <row r="4">
      <c r="A4" s="128" t="s">
        <v>234</v>
      </c>
      <c r="B4" s="2"/>
      <c r="C4" s="2"/>
      <c r="D4" s="2"/>
      <c r="E4" s="2"/>
      <c r="F4" s="2"/>
      <c r="G4" s="2"/>
      <c r="H4" s="2"/>
      <c r="I4" s="3"/>
    </row>
    <row r="5">
      <c r="A5" s="45" t="s">
        <v>235</v>
      </c>
      <c r="B5" s="13"/>
      <c r="C5" s="13"/>
      <c r="D5" s="13"/>
      <c r="E5" s="13"/>
      <c r="F5" s="13"/>
      <c r="G5" s="13"/>
      <c r="H5" s="13"/>
      <c r="I5" s="14"/>
    </row>
    <row r="6">
      <c r="A6" s="46" t="s">
        <v>70</v>
      </c>
      <c r="B6" s="14"/>
      <c r="C6" s="46" t="s">
        <v>236</v>
      </c>
      <c r="D6" s="13"/>
      <c r="E6" s="13"/>
      <c r="F6" s="13"/>
      <c r="G6" s="13"/>
      <c r="H6" s="13"/>
      <c r="I6" s="14"/>
    </row>
    <row r="7">
      <c r="A7" s="94"/>
      <c r="I7" s="48" t="s">
        <v>141</v>
      </c>
    </row>
    <row r="8">
      <c r="A8" s="49" t="s">
        <v>174</v>
      </c>
      <c r="B8" s="50">
        <v>1.0</v>
      </c>
      <c r="C8" s="72" t="s">
        <v>237</v>
      </c>
      <c r="D8" s="20"/>
      <c r="E8" s="20"/>
      <c r="F8" s="20"/>
      <c r="G8" s="20"/>
      <c r="H8" s="21"/>
      <c r="I8" s="129"/>
    </row>
    <row r="9">
      <c r="A9" s="53" t="s">
        <v>174</v>
      </c>
      <c r="B9" s="54">
        <f t="shared" ref="B9:B29" si="1">B8+1</f>
        <v>2</v>
      </c>
      <c r="C9" s="130" t="s">
        <v>238</v>
      </c>
      <c r="D9" s="13"/>
      <c r="E9" s="13"/>
      <c r="F9" s="13"/>
      <c r="G9" s="13"/>
      <c r="H9" s="14"/>
      <c r="I9" s="129"/>
    </row>
    <row r="10">
      <c r="A10" s="101" t="s">
        <v>96</v>
      </c>
      <c r="B10" s="66">
        <f t="shared" si="1"/>
        <v>3</v>
      </c>
      <c r="C10" s="27" t="s">
        <v>239</v>
      </c>
      <c r="H10" s="8"/>
      <c r="I10" s="131"/>
    </row>
    <row r="11">
      <c r="A11" s="102" t="s">
        <v>96</v>
      </c>
      <c r="B11" s="81">
        <f t="shared" si="1"/>
        <v>4</v>
      </c>
      <c r="C11" s="23" t="s">
        <v>240</v>
      </c>
      <c r="H11" s="8"/>
      <c r="I11" s="131"/>
    </row>
    <row r="12">
      <c r="A12" s="102" t="s">
        <v>96</v>
      </c>
      <c r="B12" s="132">
        <f t="shared" si="1"/>
        <v>5</v>
      </c>
      <c r="C12" s="133" t="s">
        <v>241</v>
      </c>
      <c r="H12" s="8"/>
      <c r="I12" s="55"/>
    </row>
    <row r="13">
      <c r="A13" s="102" t="s">
        <v>96</v>
      </c>
      <c r="B13" s="132">
        <f t="shared" si="1"/>
        <v>6</v>
      </c>
      <c r="C13" s="133" t="s">
        <v>242</v>
      </c>
      <c r="H13" s="8"/>
      <c r="I13" s="55"/>
    </row>
    <row r="14">
      <c r="A14" s="57" t="s">
        <v>96</v>
      </c>
      <c r="B14" s="134">
        <f t="shared" si="1"/>
        <v>7</v>
      </c>
      <c r="C14" s="135" t="s">
        <v>243</v>
      </c>
      <c r="D14" s="13"/>
      <c r="E14" s="13"/>
      <c r="F14" s="13"/>
      <c r="G14" s="13"/>
      <c r="H14" s="14"/>
      <c r="I14" s="55"/>
    </row>
    <row r="15">
      <c r="A15" s="53" t="s">
        <v>128</v>
      </c>
      <c r="B15" s="132">
        <f t="shared" si="1"/>
        <v>8</v>
      </c>
      <c r="C15" s="133" t="s">
        <v>244</v>
      </c>
      <c r="H15" s="8"/>
      <c r="I15" s="55"/>
    </row>
    <row r="16">
      <c r="A16" s="53" t="s">
        <v>128</v>
      </c>
      <c r="B16" s="132">
        <f t="shared" si="1"/>
        <v>9</v>
      </c>
      <c r="C16" s="136" t="s">
        <v>245</v>
      </c>
      <c r="D16" s="2"/>
      <c r="E16" s="2"/>
      <c r="F16" s="2"/>
      <c r="G16" s="2"/>
      <c r="H16" s="3"/>
      <c r="I16" s="55"/>
    </row>
    <row r="17">
      <c r="A17" s="53" t="s">
        <v>128</v>
      </c>
      <c r="B17" s="132">
        <f t="shared" si="1"/>
        <v>10</v>
      </c>
      <c r="C17" s="133" t="s">
        <v>246</v>
      </c>
      <c r="H17" s="8"/>
      <c r="I17" s="55"/>
    </row>
    <row r="18">
      <c r="A18" s="53" t="s">
        <v>128</v>
      </c>
      <c r="B18" s="81">
        <f t="shared" si="1"/>
        <v>11</v>
      </c>
      <c r="C18" s="105" t="s">
        <v>247</v>
      </c>
      <c r="H18" s="8"/>
      <c r="I18" s="55"/>
    </row>
    <row r="19">
      <c r="A19" s="57" t="s">
        <v>128</v>
      </c>
      <c r="B19" s="85">
        <f t="shared" si="1"/>
        <v>12</v>
      </c>
      <c r="C19" s="98" t="s">
        <v>248</v>
      </c>
      <c r="D19" s="13"/>
      <c r="E19" s="13"/>
      <c r="F19" s="13"/>
      <c r="G19" s="13"/>
      <c r="H19" s="14"/>
      <c r="I19" s="55"/>
    </row>
    <row r="20">
      <c r="A20" s="53" t="s">
        <v>249</v>
      </c>
      <c r="B20" s="81">
        <f t="shared" si="1"/>
        <v>13</v>
      </c>
      <c r="C20" s="82" t="s">
        <v>250</v>
      </c>
      <c r="H20" s="8"/>
      <c r="I20" s="52"/>
    </row>
    <row r="21">
      <c r="A21" s="53" t="s">
        <v>249</v>
      </c>
      <c r="B21" s="81">
        <f t="shared" si="1"/>
        <v>14</v>
      </c>
      <c r="C21" s="82" t="s">
        <v>251</v>
      </c>
      <c r="H21" s="8"/>
      <c r="I21" s="56"/>
    </row>
    <row r="22">
      <c r="A22" s="53" t="s">
        <v>249</v>
      </c>
      <c r="B22" s="81">
        <f t="shared" si="1"/>
        <v>15</v>
      </c>
      <c r="C22" s="23" t="s">
        <v>252</v>
      </c>
      <c r="H22" s="8"/>
      <c r="I22" s="56"/>
    </row>
    <row r="23">
      <c r="A23" s="53" t="s">
        <v>249</v>
      </c>
      <c r="B23" s="81">
        <f t="shared" si="1"/>
        <v>16</v>
      </c>
      <c r="C23" s="82" t="s">
        <v>253</v>
      </c>
      <c r="H23" s="8"/>
      <c r="I23" s="56"/>
    </row>
    <row r="24">
      <c r="A24" s="53" t="s">
        <v>249</v>
      </c>
      <c r="B24" s="81">
        <f t="shared" si="1"/>
        <v>17</v>
      </c>
      <c r="C24" s="82" t="s">
        <v>254</v>
      </c>
      <c r="H24" s="8"/>
      <c r="I24" s="56"/>
    </row>
    <row r="25">
      <c r="A25" s="53" t="s">
        <v>249</v>
      </c>
      <c r="B25" s="81">
        <f t="shared" si="1"/>
        <v>18</v>
      </c>
      <c r="C25" s="82" t="s">
        <v>255</v>
      </c>
      <c r="H25" s="8"/>
      <c r="I25" s="56"/>
    </row>
    <row r="26">
      <c r="A26" s="53" t="s">
        <v>249</v>
      </c>
      <c r="B26" s="85">
        <f t="shared" si="1"/>
        <v>19</v>
      </c>
      <c r="C26" s="120" t="s">
        <v>256</v>
      </c>
      <c r="H26" s="8"/>
      <c r="I26" s="56"/>
    </row>
    <row r="27">
      <c r="A27" s="137" t="s">
        <v>257</v>
      </c>
      <c r="B27" s="54">
        <f t="shared" si="1"/>
        <v>20</v>
      </c>
      <c r="C27" s="51" t="s">
        <v>258</v>
      </c>
      <c r="D27" s="20"/>
      <c r="E27" s="20"/>
      <c r="F27" s="20"/>
      <c r="G27" s="20"/>
      <c r="H27" s="20"/>
      <c r="I27" s="21"/>
    </row>
    <row r="28">
      <c r="A28" s="103" t="s">
        <v>257</v>
      </c>
      <c r="B28" s="54">
        <f t="shared" si="1"/>
        <v>21</v>
      </c>
      <c r="C28" s="105" t="s">
        <v>201</v>
      </c>
      <c r="I28" s="8"/>
    </row>
    <row r="29">
      <c r="A29" s="138" t="s">
        <v>257</v>
      </c>
      <c r="B29" s="58">
        <f t="shared" si="1"/>
        <v>22</v>
      </c>
      <c r="C29" s="59" t="s">
        <v>192</v>
      </c>
      <c r="D29" s="13"/>
      <c r="E29" s="13"/>
      <c r="F29" s="13"/>
      <c r="G29" s="13"/>
      <c r="H29" s="13"/>
      <c r="I29" s="14"/>
    </row>
    <row r="30">
      <c r="H30" s="23" t="s">
        <v>165</v>
      </c>
      <c r="I30" s="100">
        <f>Sum(I12:I29)</f>
        <v>0</v>
      </c>
    </row>
  </sheetData>
  <mergeCells count="29">
    <mergeCell ref="A1:I2"/>
    <mergeCell ref="A3:I3"/>
    <mergeCell ref="A4:I4"/>
    <mergeCell ref="A5:I5"/>
    <mergeCell ref="A6:B6"/>
    <mergeCell ref="C6:I6"/>
    <mergeCell ref="A7:H7"/>
    <mergeCell ref="C8:H8"/>
    <mergeCell ref="C9:H9"/>
    <mergeCell ref="C10:H10"/>
    <mergeCell ref="C11:H11"/>
    <mergeCell ref="C12:H12"/>
    <mergeCell ref="C13:H13"/>
    <mergeCell ref="C14:H14"/>
    <mergeCell ref="C22:H22"/>
    <mergeCell ref="C23:H23"/>
    <mergeCell ref="C24:H24"/>
    <mergeCell ref="C25:H25"/>
    <mergeCell ref="C26:H26"/>
    <mergeCell ref="C27:I27"/>
    <mergeCell ref="C28:I28"/>
    <mergeCell ref="C29:I29"/>
    <mergeCell ref="C15:H15"/>
    <mergeCell ref="C16:H16"/>
    <mergeCell ref="C17:H17"/>
    <mergeCell ref="C18:H18"/>
    <mergeCell ref="C19:H19"/>
    <mergeCell ref="C20:H20"/>
    <mergeCell ref="C21:H21"/>
  </mergeCells>
  <hyperlinks>
    <hyperlink display="Follow EOSRP protocol to setup microscope and camera" location="'EOSRP-D1'!A1" ref="C16"/>
    <hyperlink display="When finished, remove SD card and transfer the files to your PC. Proceed to LabKit protocol" location="LabKit!A1" ref="C26"/>
  </hyperlinks>
  <printOptions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0"/>
  </cols>
  <sheetData>
    <row r="1">
      <c r="A1" s="19" t="s">
        <v>259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46" t="s">
        <v>70</v>
      </c>
      <c r="B3" s="14"/>
      <c r="C3" s="46" t="s">
        <v>260</v>
      </c>
      <c r="D3" s="13"/>
      <c r="E3" s="13"/>
      <c r="F3" s="13"/>
      <c r="G3" s="13"/>
      <c r="H3" s="13"/>
      <c r="I3" s="13"/>
      <c r="J3" s="14"/>
    </row>
    <row r="4">
      <c r="A4" s="94"/>
      <c r="J4" s="95" t="s">
        <v>141</v>
      </c>
    </row>
    <row r="5">
      <c r="A5" s="49" t="s">
        <v>261</v>
      </c>
      <c r="B5" s="66">
        <v>1.0</v>
      </c>
      <c r="C5" s="139" t="s">
        <v>262</v>
      </c>
      <c r="D5" s="20"/>
      <c r="E5" s="20"/>
      <c r="F5" s="20"/>
      <c r="G5" s="20"/>
      <c r="H5" s="20"/>
      <c r="I5" s="21"/>
      <c r="J5" s="97"/>
    </row>
    <row r="6">
      <c r="A6" s="96"/>
      <c r="B6" s="81">
        <f t="shared" ref="B6:B25" si="1">B5+1</f>
        <v>2</v>
      </c>
      <c r="C6" s="82" t="s">
        <v>263</v>
      </c>
      <c r="I6" s="8"/>
      <c r="J6" s="56"/>
    </row>
    <row r="7">
      <c r="A7" s="96"/>
      <c r="B7" s="81">
        <f t="shared" si="1"/>
        <v>3</v>
      </c>
      <c r="C7" s="82" t="s">
        <v>264</v>
      </c>
      <c r="I7" s="8"/>
      <c r="J7" s="56"/>
    </row>
    <row r="8">
      <c r="A8" s="96"/>
      <c r="B8" s="81">
        <f t="shared" si="1"/>
        <v>4</v>
      </c>
      <c r="C8" s="82" t="s">
        <v>265</v>
      </c>
      <c r="I8" s="8"/>
      <c r="J8" s="56"/>
    </row>
    <row r="9">
      <c r="A9" s="96"/>
      <c r="B9" s="81">
        <f t="shared" si="1"/>
        <v>5</v>
      </c>
      <c r="C9" s="82" t="s">
        <v>266</v>
      </c>
      <c r="I9" s="8"/>
      <c r="J9" s="56"/>
    </row>
    <row r="10">
      <c r="A10" s="96"/>
      <c r="B10" s="81">
        <f t="shared" si="1"/>
        <v>6</v>
      </c>
      <c r="C10" s="140" t="s">
        <v>267</v>
      </c>
      <c r="D10" s="20"/>
      <c r="E10" s="20"/>
      <c r="F10" s="20"/>
      <c r="G10" s="20"/>
      <c r="H10" s="20"/>
      <c r="I10" s="21"/>
      <c r="J10" s="55"/>
    </row>
    <row r="11">
      <c r="A11" s="96"/>
      <c r="B11" s="81">
        <f t="shared" si="1"/>
        <v>7</v>
      </c>
      <c r="C11" s="141" t="s">
        <v>268</v>
      </c>
      <c r="I11" s="8"/>
      <c r="J11" s="55"/>
    </row>
    <row r="12">
      <c r="A12" s="96"/>
      <c r="B12" s="81">
        <f t="shared" si="1"/>
        <v>8</v>
      </c>
      <c r="C12" s="23" t="s">
        <v>269</v>
      </c>
      <c r="I12" s="8"/>
      <c r="J12" s="55"/>
    </row>
    <row r="13">
      <c r="A13" s="96"/>
      <c r="B13" s="81">
        <f t="shared" si="1"/>
        <v>9</v>
      </c>
      <c r="C13" s="23" t="s">
        <v>270</v>
      </c>
      <c r="I13" s="8"/>
      <c r="J13" s="55"/>
    </row>
    <row r="14">
      <c r="A14" s="96"/>
      <c r="B14" s="81">
        <f t="shared" si="1"/>
        <v>10</v>
      </c>
      <c r="C14" s="82" t="s">
        <v>271</v>
      </c>
      <c r="I14" s="8"/>
      <c r="J14" s="55"/>
    </row>
    <row r="15">
      <c r="A15" s="96"/>
      <c r="B15" s="81">
        <f t="shared" si="1"/>
        <v>11</v>
      </c>
      <c r="C15" s="23" t="s">
        <v>272</v>
      </c>
      <c r="I15" s="8"/>
      <c r="J15" s="55"/>
    </row>
    <row r="16">
      <c r="A16" s="22"/>
      <c r="B16" s="81">
        <f t="shared" si="1"/>
        <v>12</v>
      </c>
      <c r="C16" s="23" t="s">
        <v>273</v>
      </c>
      <c r="I16" s="8"/>
      <c r="J16" s="55"/>
    </row>
    <row r="17">
      <c r="A17" s="49" t="s">
        <v>128</v>
      </c>
      <c r="B17" s="66">
        <f t="shared" si="1"/>
        <v>13</v>
      </c>
      <c r="C17" s="70" t="s">
        <v>274</v>
      </c>
      <c r="D17" s="20"/>
      <c r="E17" s="20"/>
      <c r="F17" s="20"/>
      <c r="G17" s="20"/>
      <c r="H17" s="20"/>
      <c r="I17" s="21"/>
      <c r="J17" s="55"/>
    </row>
    <row r="18">
      <c r="A18" s="96"/>
      <c r="B18" s="81">
        <f t="shared" si="1"/>
        <v>14</v>
      </c>
      <c r="C18" s="82" t="s">
        <v>275</v>
      </c>
      <c r="I18" s="8"/>
      <c r="J18" s="55"/>
    </row>
    <row r="19">
      <c r="A19" s="96"/>
      <c r="B19" s="81">
        <f t="shared" si="1"/>
        <v>15</v>
      </c>
      <c r="C19" s="82" t="s">
        <v>276</v>
      </c>
      <c r="I19" s="8"/>
      <c r="J19" s="55"/>
    </row>
    <row r="20">
      <c r="A20" s="96"/>
      <c r="B20" s="81">
        <f t="shared" si="1"/>
        <v>16</v>
      </c>
      <c r="C20" s="23" t="s">
        <v>277</v>
      </c>
      <c r="I20" s="8"/>
      <c r="J20" s="55"/>
    </row>
    <row r="21">
      <c r="A21" s="96"/>
      <c r="B21" s="81">
        <f t="shared" si="1"/>
        <v>17</v>
      </c>
      <c r="C21" s="51" t="s">
        <v>278</v>
      </c>
      <c r="D21" s="20"/>
      <c r="E21" s="20"/>
      <c r="F21" s="20"/>
      <c r="G21" s="20"/>
      <c r="H21" s="20"/>
      <c r="I21" s="21"/>
      <c r="J21" s="55"/>
    </row>
    <row r="22">
      <c r="A22" s="96"/>
      <c r="B22" s="81">
        <f t="shared" si="1"/>
        <v>18</v>
      </c>
      <c r="C22" s="23" t="s">
        <v>279</v>
      </c>
      <c r="I22" s="8"/>
      <c r="J22" s="55"/>
    </row>
    <row r="23">
      <c r="A23" s="96"/>
      <c r="B23" s="81">
        <f t="shared" si="1"/>
        <v>19</v>
      </c>
      <c r="C23" s="142" t="s">
        <v>280</v>
      </c>
      <c r="I23" s="8"/>
      <c r="J23" s="55"/>
    </row>
    <row r="24">
      <c r="A24" s="96"/>
      <c r="B24" s="81">
        <f t="shared" si="1"/>
        <v>20</v>
      </c>
      <c r="C24" s="133" t="s">
        <v>281</v>
      </c>
      <c r="I24" s="8"/>
      <c r="J24" s="56"/>
    </row>
    <row r="25">
      <c r="A25" s="22"/>
      <c r="B25" s="85">
        <f t="shared" si="1"/>
        <v>21</v>
      </c>
      <c r="C25" s="143" t="s">
        <v>282</v>
      </c>
      <c r="D25" s="13"/>
      <c r="E25" s="13"/>
      <c r="F25" s="13"/>
      <c r="G25" s="13"/>
      <c r="H25" s="13"/>
      <c r="I25" s="14"/>
      <c r="J25" s="90"/>
    </row>
  </sheetData>
  <mergeCells count="27">
    <mergeCell ref="C7:I7"/>
    <mergeCell ref="C8:I8"/>
    <mergeCell ref="C9:I9"/>
    <mergeCell ref="C10:I10"/>
    <mergeCell ref="C11:I11"/>
    <mergeCell ref="C12:I12"/>
    <mergeCell ref="C13:I13"/>
    <mergeCell ref="C14:I14"/>
    <mergeCell ref="A1:J2"/>
    <mergeCell ref="A3:B3"/>
    <mergeCell ref="C3:J3"/>
    <mergeCell ref="A4:I4"/>
    <mergeCell ref="A5:A16"/>
    <mergeCell ref="C5:I5"/>
    <mergeCell ref="C6:I6"/>
    <mergeCell ref="C21:I21"/>
    <mergeCell ref="C22:I22"/>
    <mergeCell ref="C23:I23"/>
    <mergeCell ref="C24:I24"/>
    <mergeCell ref="C15:I15"/>
    <mergeCell ref="C16:I16"/>
    <mergeCell ref="A17:A25"/>
    <mergeCell ref="C17:I17"/>
    <mergeCell ref="C18:I18"/>
    <mergeCell ref="C19:I19"/>
    <mergeCell ref="C20:I20"/>
    <mergeCell ref="C25:I25"/>
  </mergeCells>
  <hyperlinks>
    <hyperlink display="Go back to Imaging protocol  step 10" location="Imaging!A1" ref="C25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0"/>
    <col customWidth="1" min="9" max="9" width="13.63"/>
  </cols>
  <sheetData>
    <row r="1">
      <c r="A1" s="19" t="s">
        <v>283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46" t="s">
        <v>70</v>
      </c>
      <c r="B3" s="14"/>
      <c r="C3" s="46"/>
      <c r="D3" s="13"/>
      <c r="E3" s="13"/>
      <c r="F3" s="13"/>
      <c r="G3" s="13"/>
      <c r="H3" s="13"/>
      <c r="I3" s="13"/>
      <c r="J3" s="14"/>
    </row>
    <row r="4">
      <c r="A4" s="94"/>
      <c r="J4" s="95" t="s">
        <v>141</v>
      </c>
    </row>
    <row r="5">
      <c r="A5" s="49" t="s">
        <v>261</v>
      </c>
      <c r="B5" s="66">
        <v>1.0</v>
      </c>
      <c r="C5" s="139" t="s">
        <v>284</v>
      </c>
      <c r="D5" s="20"/>
      <c r="E5" s="20"/>
      <c r="F5" s="20"/>
      <c r="G5" s="20"/>
      <c r="H5" s="20"/>
      <c r="I5" s="21"/>
      <c r="J5" s="71"/>
    </row>
    <row r="6">
      <c r="A6" s="96"/>
      <c r="B6" s="81">
        <f t="shared" ref="B6:B24" si="1">B5+1</f>
        <v>2</v>
      </c>
      <c r="C6" s="82" t="s">
        <v>285</v>
      </c>
      <c r="I6" s="8"/>
      <c r="J6" s="74"/>
    </row>
    <row r="7">
      <c r="A7" s="96"/>
      <c r="B7" s="81">
        <f t="shared" si="1"/>
        <v>3</v>
      </c>
      <c r="C7" s="82" t="s">
        <v>286</v>
      </c>
      <c r="I7" s="8"/>
      <c r="J7" s="74"/>
    </row>
    <row r="8">
      <c r="A8" s="96"/>
      <c r="B8" s="81">
        <f t="shared" si="1"/>
        <v>4</v>
      </c>
      <c r="C8" s="82" t="s">
        <v>287</v>
      </c>
      <c r="I8" s="8"/>
      <c r="J8" s="74"/>
    </row>
    <row r="9">
      <c r="A9" s="96"/>
      <c r="B9" s="81">
        <f t="shared" si="1"/>
        <v>5</v>
      </c>
      <c r="C9" s="82" t="s">
        <v>288</v>
      </c>
      <c r="I9" s="8"/>
      <c r="J9" s="74"/>
    </row>
    <row r="10">
      <c r="A10" s="96"/>
      <c r="B10" s="81">
        <f t="shared" si="1"/>
        <v>6</v>
      </c>
      <c r="C10" s="23" t="s">
        <v>289</v>
      </c>
      <c r="I10" s="8"/>
      <c r="J10" s="77"/>
    </row>
    <row r="11">
      <c r="A11" s="96"/>
      <c r="B11" s="81">
        <f t="shared" si="1"/>
        <v>7</v>
      </c>
      <c r="C11" s="142" t="s">
        <v>290</v>
      </c>
      <c r="I11" s="8"/>
      <c r="J11" s="77"/>
    </row>
    <row r="12">
      <c r="A12" s="96"/>
      <c r="B12" s="81">
        <f t="shared" si="1"/>
        <v>8</v>
      </c>
      <c r="C12" s="23" t="s">
        <v>291</v>
      </c>
      <c r="I12" s="8"/>
      <c r="J12" s="77"/>
    </row>
    <row r="13">
      <c r="A13" s="96"/>
      <c r="B13" s="81">
        <f t="shared" si="1"/>
        <v>9</v>
      </c>
      <c r="C13" s="23" t="s">
        <v>292</v>
      </c>
      <c r="I13" s="8"/>
      <c r="J13" s="77"/>
    </row>
    <row r="14">
      <c r="A14" s="96"/>
      <c r="B14" s="81">
        <f t="shared" si="1"/>
        <v>10</v>
      </c>
      <c r="C14" s="82" t="s">
        <v>293</v>
      </c>
      <c r="I14" s="8"/>
      <c r="J14" s="77"/>
    </row>
    <row r="15">
      <c r="A15" s="96"/>
      <c r="B15" s="81">
        <f t="shared" si="1"/>
        <v>11</v>
      </c>
      <c r="C15" s="7" t="s">
        <v>294</v>
      </c>
      <c r="I15" s="8"/>
      <c r="J15" s="77"/>
    </row>
    <row r="16">
      <c r="A16" s="96"/>
      <c r="B16" s="81">
        <f t="shared" si="1"/>
        <v>12</v>
      </c>
      <c r="C16" s="23" t="s">
        <v>295</v>
      </c>
      <c r="I16" s="8"/>
      <c r="J16" s="77"/>
    </row>
    <row r="17">
      <c r="A17" s="96"/>
      <c r="B17" s="81">
        <f t="shared" si="1"/>
        <v>13</v>
      </c>
      <c r="C17" s="23" t="s">
        <v>296</v>
      </c>
      <c r="I17" s="8"/>
      <c r="J17" s="77"/>
    </row>
    <row r="18">
      <c r="A18" s="96"/>
      <c r="B18" s="81">
        <f t="shared" si="1"/>
        <v>14</v>
      </c>
      <c r="C18" s="23" t="s">
        <v>297</v>
      </c>
      <c r="I18" s="8"/>
      <c r="J18" s="77"/>
    </row>
    <row r="19">
      <c r="A19" s="96"/>
      <c r="B19" s="81">
        <f t="shared" si="1"/>
        <v>15</v>
      </c>
      <c r="C19" s="7" t="s">
        <v>298</v>
      </c>
      <c r="I19" s="8"/>
      <c r="J19" s="77"/>
    </row>
    <row r="20">
      <c r="A20" s="96"/>
      <c r="B20" s="81">
        <f t="shared" si="1"/>
        <v>16</v>
      </c>
      <c r="C20" s="7" t="s">
        <v>299</v>
      </c>
      <c r="I20" s="8"/>
      <c r="J20" s="77"/>
    </row>
    <row r="21">
      <c r="A21" s="96"/>
      <c r="B21" s="81">
        <f t="shared" si="1"/>
        <v>17</v>
      </c>
      <c r="C21" s="23" t="s">
        <v>300</v>
      </c>
      <c r="I21" s="8"/>
      <c r="J21" s="77"/>
    </row>
    <row r="22">
      <c r="A22" s="96"/>
      <c r="B22" s="81">
        <f t="shared" si="1"/>
        <v>18</v>
      </c>
      <c r="C22" s="23" t="s">
        <v>301</v>
      </c>
      <c r="I22" s="8"/>
      <c r="J22" s="77"/>
    </row>
    <row r="23">
      <c r="A23" s="96"/>
      <c r="B23" s="81">
        <f t="shared" si="1"/>
        <v>19</v>
      </c>
      <c r="C23" s="23" t="s">
        <v>302</v>
      </c>
      <c r="I23" s="8"/>
      <c r="J23" s="77"/>
    </row>
    <row r="24">
      <c r="A24" s="22"/>
      <c r="B24" s="85">
        <f t="shared" si="1"/>
        <v>20</v>
      </c>
      <c r="C24" s="99" t="s">
        <v>303</v>
      </c>
      <c r="D24" s="13"/>
      <c r="E24" s="13"/>
      <c r="F24" s="13"/>
      <c r="G24" s="13"/>
      <c r="H24" s="13"/>
      <c r="I24" s="14"/>
      <c r="J24" s="80"/>
    </row>
  </sheetData>
  <mergeCells count="25">
    <mergeCell ref="C21:I21"/>
    <mergeCell ref="C22:I22"/>
    <mergeCell ref="C23:I23"/>
    <mergeCell ref="C24:I24"/>
    <mergeCell ref="A1:J2"/>
    <mergeCell ref="A3:B3"/>
    <mergeCell ref="C3:J3"/>
    <mergeCell ref="A4:I4"/>
    <mergeCell ref="A5:A2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</mergeCells>
  <hyperlinks>
    <hyperlink display="Transfer images to a flash-drive, or batch transfer by bash (next step). If not, proceed to Labkit protocol" location="LabKit!A1" ref="C15"/>
    <hyperlink r:id="rId1" ref="C19"/>
    <hyperlink r:id="rId2" ref="C20"/>
    <hyperlink display="This will transfer all files to the PC using same structure of folders and subfolders. Proceed to Labkit protocol" location="LabKit!A1" ref="C2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4.63"/>
    <col customWidth="1" min="3" max="3" width="8.38"/>
    <col customWidth="1" min="4" max="4" width="11.13"/>
    <col customWidth="1" min="5" max="5" width="11.75"/>
    <col customWidth="1" min="6" max="6" width="10.38"/>
    <col customWidth="1" min="8" max="8" width="10.13"/>
    <col customWidth="1" min="9" max="9" width="10.38"/>
    <col customWidth="1" min="10" max="10" width="8.5"/>
  </cols>
  <sheetData>
    <row r="1">
      <c r="A1" s="19" t="s">
        <v>304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40" t="s">
        <v>65</v>
      </c>
      <c r="B3" s="20"/>
      <c r="C3" s="20"/>
      <c r="D3" s="20"/>
      <c r="E3" s="20"/>
      <c r="F3" s="20"/>
      <c r="G3" s="20"/>
      <c r="H3" s="20"/>
      <c r="I3" s="20"/>
      <c r="J3" s="21"/>
    </row>
    <row r="4">
      <c r="A4" s="41" t="s">
        <v>305</v>
      </c>
      <c r="B4" s="20"/>
      <c r="C4" s="20"/>
      <c r="D4" s="20"/>
      <c r="E4" s="20"/>
      <c r="F4" s="20"/>
      <c r="G4" s="20"/>
      <c r="H4" s="20"/>
      <c r="I4" s="20"/>
      <c r="J4" s="21"/>
    </row>
    <row r="5">
      <c r="A5" s="42" t="s">
        <v>306</v>
      </c>
      <c r="J5" s="8"/>
    </row>
    <row r="6">
      <c r="A6" s="42" t="s">
        <v>307</v>
      </c>
      <c r="J6" s="8"/>
    </row>
    <row r="7">
      <c r="A7" s="43" t="s">
        <v>308</v>
      </c>
      <c r="J7" s="8"/>
    </row>
    <row r="8">
      <c r="A8" s="64" t="s">
        <v>309</v>
      </c>
      <c r="J8" s="8"/>
    </row>
    <row r="9">
      <c r="A9" s="117"/>
      <c r="B9" s="13"/>
      <c r="C9" s="13"/>
      <c r="D9" s="13"/>
      <c r="E9" s="13"/>
      <c r="F9" s="13"/>
      <c r="G9" s="13"/>
      <c r="H9" s="13"/>
      <c r="I9" s="13"/>
      <c r="J9" s="14"/>
    </row>
    <row r="10">
      <c r="A10" s="102" t="s">
        <v>310</v>
      </c>
      <c r="J10" s="8"/>
    </row>
    <row r="11">
      <c r="A11" s="102" t="s">
        <v>70</v>
      </c>
      <c r="B11" s="8"/>
      <c r="C11" s="94"/>
      <c r="J11" s="137" t="s">
        <v>72</v>
      </c>
    </row>
    <row r="12">
      <c r="A12" s="49" t="s">
        <v>73</v>
      </c>
      <c r="B12" s="50">
        <f>B11+1</f>
        <v>1</v>
      </c>
      <c r="C12" s="51" t="s">
        <v>239</v>
      </c>
      <c r="D12" s="20"/>
      <c r="E12" s="20"/>
      <c r="F12" s="20"/>
      <c r="G12" s="20"/>
      <c r="H12" s="20"/>
      <c r="I12" s="21"/>
      <c r="J12" s="56"/>
    </row>
    <row r="13">
      <c r="A13" s="106" t="s">
        <v>311</v>
      </c>
      <c r="B13" s="50">
        <v>1.0</v>
      </c>
      <c r="C13" s="121" t="s">
        <v>312</v>
      </c>
      <c r="D13" s="20"/>
      <c r="E13" s="20"/>
      <c r="F13" s="20"/>
      <c r="G13" s="20"/>
      <c r="H13" s="20"/>
      <c r="I13" s="21"/>
      <c r="J13" s="56"/>
    </row>
    <row r="14">
      <c r="A14" s="107" t="s">
        <v>311</v>
      </c>
      <c r="B14" s="54">
        <f t="shared" ref="B14:B18" si="1">B13+1</f>
        <v>2</v>
      </c>
      <c r="C14" s="122" t="s">
        <v>313</v>
      </c>
      <c r="I14" s="8"/>
      <c r="J14" s="56"/>
    </row>
    <row r="15">
      <c r="A15" s="107" t="s">
        <v>311</v>
      </c>
      <c r="B15" s="54">
        <f t="shared" si="1"/>
        <v>3</v>
      </c>
      <c r="C15" s="122" t="s">
        <v>314</v>
      </c>
      <c r="I15" s="8"/>
      <c r="J15" s="56"/>
    </row>
    <row r="16">
      <c r="A16" s="107" t="s">
        <v>311</v>
      </c>
      <c r="B16" s="54">
        <f t="shared" si="1"/>
        <v>4</v>
      </c>
      <c r="C16" s="73" t="s">
        <v>315</v>
      </c>
      <c r="I16" s="8"/>
      <c r="J16" s="144"/>
    </row>
    <row r="17">
      <c r="A17" s="107" t="s">
        <v>311</v>
      </c>
      <c r="B17" s="54">
        <f t="shared" si="1"/>
        <v>5</v>
      </c>
      <c r="C17" s="122" t="s">
        <v>316</v>
      </c>
      <c r="I17" s="8"/>
      <c r="J17" s="116"/>
    </row>
    <row r="18">
      <c r="A18" s="108" t="s">
        <v>311</v>
      </c>
      <c r="B18" s="54">
        <f t="shared" si="1"/>
        <v>6</v>
      </c>
      <c r="C18" s="124" t="s">
        <v>317</v>
      </c>
      <c r="D18" s="13"/>
      <c r="E18" s="13"/>
      <c r="F18" s="13"/>
      <c r="G18" s="13"/>
      <c r="H18" s="13"/>
      <c r="I18" s="14"/>
      <c r="J18" s="116"/>
    </row>
    <row r="19">
      <c r="I19" s="115" t="s">
        <v>165</v>
      </c>
      <c r="J19" s="127">
        <f>sum(J13:J15)</f>
        <v>0</v>
      </c>
    </row>
  </sheetData>
  <mergeCells count="18">
    <mergeCell ref="A1:J2"/>
    <mergeCell ref="A3:J3"/>
    <mergeCell ref="A4:J4"/>
    <mergeCell ref="A5:J5"/>
    <mergeCell ref="A6:J6"/>
    <mergeCell ref="A7:J7"/>
    <mergeCell ref="A8:J8"/>
    <mergeCell ref="C15:I15"/>
    <mergeCell ref="C16:I16"/>
    <mergeCell ref="C17:I17"/>
    <mergeCell ref="C18:I18"/>
    <mergeCell ref="A9:J9"/>
    <mergeCell ref="A10:J10"/>
    <mergeCell ref="A11:B11"/>
    <mergeCell ref="C11:I11"/>
    <mergeCell ref="C12:I12"/>
    <mergeCell ref="C13:I13"/>
    <mergeCell ref="C14:I14"/>
  </mergeCells>
  <printOptions horizontalCentered="1"/>
  <pageMargins bottom="0.05" footer="0.0" header="0.0" left="0.05" right="0.05" top="0.6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4.63"/>
    <col customWidth="1" min="3" max="3" width="19.75"/>
    <col customWidth="1" min="5" max="5" width="13.25"/>
    <col customWidth="1" min="6" max="6" width="12.5"/>
    <col customWidth="1" min="7" max="7" width="13.63"/>
    <col customWidth="1" min="8" max="8" width="11.25"/>
    <col customWidth="1" min="9" max="9" width="19.5"/>
    <col customWidth="1" min="10" max="10" width="9.38"/>
  </cols>
  <sheetData>
    <row r="1">
      <c r="A1" s="19" t="s">
        <v>318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22"/>
      <c r="B2" s="13"/>
      <c r="C2" s="13"/>
      <c r="D2" s="13"/>
      <c r="E2" s="13"/>
      <c r="F2" s="13"/>
      <c r="G2" s="13"/>
      <c r="H2" s="13"/>
      <c r="I2" s="13"/>
      <c r="J2" s="14"/>
    </row>
    <row r="3">
      <c r="A3" s="145" t="s">
        <v>65</v>
      </c>
      <c r="B3" s="2"/>
      <c r="C3" s="2"/>
      <c r="D3" s="2"/>
      <c r="E3" s="2"/>
      <c r="F3" s="2"/>
      <c r="G3" s="2"/>
      <c r="H3" s="2"/>
      <c r="I3" s="2"/>
      <c r="J3" s="3"/>
    </row>
    <row r="4">
      <c r="A4" s="117" t="s">
        <v>319</v>
      </c>
      <c r="B4" s="13"/>
      <c r="C4" s="13"/>
      <c r="D4" s="13"/>
      <c r="E4" s="13"/>
      <c r="F4" s="13"/>
      <c r="G4" s="13"/>
      <c r="H4" s="13"/>
      <c r="I4" s="13"/>
      <c r="J4" s="14"/>
    </row>
    <row r="5">
      <c r="A5" s="117" t="s">
        <v>320</v>
      </c>
      <c r="B5" s="13"/>
      <c r="C5" s="13"/>
      <c r="D5" s="13"/>
      <c r="E5" s="13"/>
      <c r="F5" s="13"/>
      <c r="G5" s="13"/>
      <c r="H5" s="13"/>
      <c r="I5" s="13"/>
      <c r="J5" s="14"/>
    </row>
    <row r="6">
      <c r="A6" s="117" t="s">
        <v>321</v>
      </c>
      <c r="B6" s="13"/>
      <c r="C6" s="13"/>
      <c r="D6" s="13"/>
      <c r="E6" s="13"/>
      <c r="F6" s="13"/>
      <c r="G6" s="13"/>
      <c r="H6" s="13"/>
      <c r="I6" s="13"/>
      <c r="J6" s="14"/>
    </row>
    <row r="7">
      <c r="A7" s="117" t="s">
        <v>322</v>
      </c>
      <c r="B7" s="13"/>
      <c r="C7" s="13"/>
      <c r="D7" s="13"/>
      <c r="E7" s="13"/>
      <c r="F7" s="13"/>
      <c r="G7" s="13"/>
      <c r="H7" s="13"/>
      <c r="I7" s="13"/>
      <c r="J7" s="14"/>
    </row>
    <row r="8">
      <c r="A8" s="46" t="s">
        <v>323</v>
      </c>
      <c r="B8" s="13"/>
      <c r="C8" s="13"/>
      <c r="D8" s="13"/>
      <c r="E8" s="13"/>
      <c r="F8" s="13"/>
      <c r="G8" s="13"/>
      <c r="H8" s="13"/>
      <c r="I8" s="13"/>
      <c r="J8" s="14"/>
    </row>
    <row r="9">
      <c r="A9" s="102" t="s">
        <v>70</v>
      </c>
      <c r="B9" s="8"/>
      <c r="C9" s="94"/>
      <c r="J9" s="48" t="s">
        <v>72</v>
      </c>
    </row>
    <row r="10">
      <c r="A10" s="49" t="s">
        <v>94</v>
      </c>
      <c r="B10" s="50">
        <v>1.0</v>
      </c>
      <c r="C10" s="51" t="s">
        <v>239</v>
      </c>
      <c r="D10" s="20"/>
      <c r="E10" s="20"/>
      <c r="F10" s="20"/>
      <c r="G10" s="20"/>
      <c r="H10" s="20"/>
      <c r="I10" s="21"/>
      <c r="J10" s="52">
        <v>10.0</v>
      </c>
    </row>
    <row r="11">
      <c r="A11" s="49" t="s">
        <v>204</v>
      </c>
      <c r="B11" s="66">
        <f t="shared" ref="B11:B27" si="1">B10+1</f>
        <v>2</v>
      </c>
      <c r="C11" s="51" t="s">
        <v>324</v>
      </c>
      <c r="D11" s="20"/>
      <c r="E11" s="20"/>
      <c r="F11" s="20"/>
      <c r="G11" s="20"/>
      <c r="H11" s="20"/>
      <c r="I11" s="21"/>
      <c r="J11" s="55"/>
    </row>
    <row r="12">
      <c r="A12" s="96"/>
      <c r="B12" s="81">
        <f t="shared" si="1"/>
        <v>3</v>
      </c>
      <c r="C12" s="82" t="s">
        <v>325</v>
      </c>
      <c r="I12" s="8"/>
      <c r="J12" s="55"/>
    </row>
    <row r="13">
      <c r="A13" s="96"/>
      <c r="B13" s="81">
        <f t="shared" si="1"/>
        <v>4</v>
      </c>
      <c r="C13" s="82" t="s">
        <v>326</v>
      </c>
      <c r="I13" s="8"/>
      <c r="J13" s="55">
        <v>1.0</v>
      </c>
    </row>
    <row r="14">
      <c r="A14" s="96"/>
      <c r="B14" s="81">
        <f t="shared" si="1"/>
        <v>5</v>
      </c>
      <c r="C14" s="23" t="s">
        <v>327</v>
      </c>
      <c r="I14" s="8"/>
      <c r="J14" s="55"/>
    </row>
    <row r="15">
      <c r="A15" s="96"/>
      <c r="B15" s="81">
        <f t="shared" si="1"/>
        <v>6</v>
      </c>
      <c r="C15" s="51" t="s">
        <v>328</v>
      </c>
      <c r="D15" s="20"/>
      <c r="E15" s="20"/>
      <c r="F15" s="20"/>
      <c r="G15" s="20"/>
      <c r="H15" s="20"/>
      <c r="I15" s="21"/>
      <c r="J15" s="55"/>
    </row>
    <row r="16">
      <c r="A16" s="96"/>
      <c r="B16" s="81">
        <f t="shared" si="1"/>
        <v>7</v>
      </c>
      <c r="C16" s="105" t="s">
        <v>329</v>
      </c>
      <c r="I16" s="8"/>
      <c r="J16" s="55"/>
    </row>
    <row r="17">
      <c r="A17" s="96"/>
      <c r="B17" s="81">
        <f t="shared" si="1"/>
        <v>8</v>
      </c>
      <c r="C17" s="105" t="s">
        <v>330</v>
      </c>
      <c r="I17" s="8"/>
      <c r="J17" s="55"/>
    </row>
    <row r="18">
      <c r="A18" s="96"/>
      <c r="B18" s="81">
        <f t="shared" si="1"/>
        <v>9</v>
      </c>
      <c r="C18" s="82" t="s">
        <v>331</v>
      </c>
      <c r="I18" s="8"/>
      <c r="J18" s="55"/>
    </row>
    <row r="19">
      <c r="A19" s="96"/>
      <c r="B19" s="81">
        <f t="shared" si="1"/>
        <v>10</v>
      </c>
      <c r="C19" s="82" t="s">
        <v>332</v>
      </c>
      <c r="I19" s="8"/>
      <c r="J19" s="55">
        <v>5.0</v>
      </c>
    </row>
    <row r="20">
      <c r="A20" s="96"/>
      <c r="B20" s="81">
        <f t="shared" si="1"/>
        <v>11</v>
      </c>
      <c r="C20" s="82" t="s">
        <v>181</v>
      </c>
      <c r="I20" s="8"/>
      <c r="J20" s="55"/>
    </row>
    <row r="21">
      <c r="A21" s="96"/>
      <c r="B21" s="81">
        <f t="shared" si="1"/>
        <v>12</v>
      </c>
      <c r="C21" s="82" t="s">
        <v>333</v>
      </c>
      <c r="I21" s="8"/>
      <c r="J21" s="55"/>
    </row>
    <row r="22">
      <c r="A22" s="96"/>
      <c r="B22" s="81">
        <f t="shared" si="1"/>
        <v>13</v>
      </c>
      <c r="C22" s="82" t="s">
        <v>334</v>
      </c>
      <c r="I22" s="8"/>
      <c r="J22" s="55"/>
    </row>
    <row r="23">
      <c r="A23" s="96"/>
      <c r="B23" s="81">
        <f t="shared" si="1"/>
        <v>14</v>
      </c>
      <c r="C23" s="82" t="s">
        <v>335</v>
      </c>
      <c r="I23" s="8"/>
      <c r="J23" s="55">
        <v>1.0</v>
      </c>
    </row>
    <row r="24">
      <c r="A24" s="96"/>
      <c r="B24" s="81">
        <f t="shared" si="1"/>
        <v>15</v>
      </c>
      <c r="C24" s="23" t="s">
        <v>336</v>
      </c>
      <c r="I24" s="8"/>
      <c r="J24" s="55"/>
    </row>
    <row r="25">
      <c r="A25" s="96"/>
      <c r="B25" s="81">
        <f t="shared" si="1"/>
        <v>16</v>
      </c>
      <c r="C25" s="139" t="s">
        <v>201</v>
      </c>
      <c r="D25" s="20"/>
      <c r="E25" s="20"/>
      <c r="F25" s="20"/>
      <c r="G25" s="20"/>
      <c r="H25" s="20"/>
      <c r="I25" s="21"/>
      <c r="J25" s="55"/>
    </row>
    <row r="26">
      <c r="A26" s="96"/>
      <c r="B26" s="81">
        <f t="shared" si="1"/>
        <v>17</v>
      </c>
      <c r="C26" s="23" t="s">
        <v>192</v>
      </c>
      <c r="I26" s="8"/>
      <c r="J26" s="55"/>
    </row>
    <row r="27">
      <c r="A27" s="22"/>
      <c r="B27" s="85">
        <f t="shared" si="1"/>
        <v>18</v>
      </c>
      <c r="C27" s="59" t="s">
        <v>337</v>
      </c>
      <c r="D27" s="13"/>
      <c r="E27" s="13"/>
      <c r="F27" s="13"/>
      <c r="G27" s="13"/>
      <c r="H27" s="13"/>
      <c r="I27" s="14"/>
      <c r="J27" s="55"/>
    </row>
    <row r="28">
      <c r="A28" s="146" t="s">
        <v>133</v>
      </c>
      <c r="B28" s="13"/>
      <c r="C28" s="13"/>
      <c r="D28" s="13"/>
      <c r="E28" s="13"/>
      <c r="F28" s="13"/>
      <c r="G28" s="13"/>
      <c r="H28" s="13"/>
      <c r="I28" s="14"/>
      <c r="J28" s="68">
        <f>sum(J10:J27)</f>
        <v>17</v>
      </c>
    </row>
  </sheetData>
  <mergeCells count="29">
    <mergeCell ref="C26:I26"/>
    <mergeCell ref="C27:I27"/>
    <mergeCell ref="A9:B9"/>
    <mergeCell ref="C9:I9"/>
    <mergeCell ref="C10:I10"/>
    <mergeCell ref="A11:A27"/>
    <mergeCell ref="C11:I11"/>
    <mergeCell ref="C12:I12"/>
    <mergeCell ref="C13:I13"/>
    <mergeCell ref="A28:I28"/>
    <mergeCell ref="A1:J2"/>
    <mergeCell ref="A3:J3"/>
    <mergeCell ref="A4:J4"/>
    <mergeCell ref="A5:J5"/>
    <mergeCell ref="A6:J6"/>
    <mergeCell ref="A7:J7"/>
    <mergeCell ref="A8:J8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</mergeCells>
  <printOptions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.88"/>
    <col customWidth="1" min="4" max="4" width="16.13"/>
    <col customWidth="1" min="5" max="5" width="16.5"/>
    <col customWidth="1" min="8" max="8" width="24.13"/>
    <col customWidth="1" min="9" max="9" width="4.13"/>
  </cols>
  <sheetData>
    <row r="1" ht="12.0" customHeight="1">
      <c r="A1" s="19" t="s">
        <v>338</v>
      </c>
      <c r="B1" s="20"/>
      <c r="C1" s="20"/>
      <c r="D1" s="20"/>
      <c r="E1" s="20"/>
      <c r="F1" s="20"/>
      <c r="G1" s="20"/>
      <c r="H1" s="20"/>
      <c r="I1" s="21"/>
    </row>
    <row r="2" ht="9.0" customHeight="1">
      <c r="A2" s="22"/>
      <c r="B2" s="13"/>
      <c r="C2" s="13"/>
      <c r="D2" s="13"/>
      <c r="E2" s="13"/>
      <c r="F2" s="13"/>
      <c r="G2" s="13"/>
      <c r="H2" s="13"/>
      <c r="I2" s="14"/>
    </row>
    <row r="3">
      <c r="A3" s="147" t="s">
        <v>65</v>
      </c>
      <c r="B3" s="20"/>
      <c r="C3" s="20"/>
      <c r="D3" s="20"/>
      <c r="E3" s="20"/>
      <c r="F3" s="20"/>
      <c r="G3" s="20"/>
      <c r="H3" s="20"/>
      <c r="I3" s="21"/>
    </row>
    <row r="4">
      <c r="A4" s="148" t="s">
        <v>339</v>
      </c>
      <c r="B4" s="2"/>
      <c r="C4" s="2"/>
      <c r="D4" s="2"/>
      <c r="E4" s="2"/>
      <c r="F4" s="2"/>
      <c r="G4" s="2"/>
      <c r="H4" s="2"/>
      <c r="I4" s="3"/>
    </row>
    <row r="5">
      <c r="A5" s="45" t="s">
        <v>235</v>
      </c>
      <c r="B5" s="13"/>
      <c r="C5" s="13"/>
      <c r="D5" s="13"/>
      <c r="E5" s="13"/>
      <c r="F5" s="13"/>
      <c r="G5" s="13"/>
      <c r="H5" s="13"/>
      <c r="I5" s="14"/>
    </row>
    <row r="6">
      <c r="A6" s="46" t="s">
        <v>70</v>
      </c>
      <c r="B6" s="14"/>
      <c r="C6" s="46" t="s">
        <v>340</v>
      </c>
      <c r="D6" s="13"/>
      <c r="E6" s="13"/>
      <c r="F6" s="13"/>
      <c r="G6" s="13"/>
      <c r="H6" s="13"/>
      <c r="I6" s="14"/>
    </row>
    <row r="7">
      <c r="A7" s="94"/>
      <c r="I7" s="149" t="s">
        <v>141</v>
      </c>
    </row>
    <row r="8">
      <c r="A8" s="49" t="s">
        <v>261</v>
      </c>
      <c r="B8" s="50">
        <v>1.0</v>
      </c>
      <c r="C8" s="150" t="s">
        <v>341</v>
      </c>
      <c r="D8" s="20"/>
      <c r="E8" s="20"/>
      <c r="F8" s="20"/>
      <c r="G8" s="20"/>
      <c r="H8" s="21"/>
      <c r="I8" s="151"/>
    </row>
    <row r="9">
      <c r="A9" s="96"/>
      <c r="B9" s="54">
        <f t="shared" ref="B9:B30" si="1">B8+1</f>
        <v>2</v>
      </c>
      <c r="C9" s="152" t="s">
        <v>342</v>
      </c>
      <c r="H9" s="8"/>
      <c r="I9" s="153"/>
    </row>
    <row r="10">
      <c r="A10" s="96"/>
      <c r="B10" s="54">
        <f t="shared" si="1"/>
        <v>3</v>
      </c>
      <c r="C10" s="152" t="s">
        <v>343</v>
      </c>
      <c r="H10" s="8"/>
      <c r="I10" s="154"/>
    </row>
    <row r="11">
      <c r="A11" s="96"/>
      <c r="B11" s="54">
        <f t="shared" si="1"/>
        <v>4</v>
      </c>
      <c r="C11" s="152" t="s">
        <v>344</v>
      </c>
      <c r="H11" s="8"/>
      <c r="I11" s="154"/>
    </row>
    <row r="12">
      <c r="A12" s="96"/>
      <c r="B12" s="54">
        <f t="shared" si="1"/>
        <v>5</v>
      </c>
      <c r="C12" s="152" t="s">
        <v>345</v>
      </c>
      <c r="H12" s="8"/>
      <c r="I12" s="155"/>
    </row>
    <row r="13">
      <c r="A13" s="96"/>
      <c r="B13" s="54">
        <f t="shared" si="1"/>
        <v>6</v>
      </c>
      <c r="C13" s="156" t="s">
        <v>346</v>
      </c>
      <c r="H13" s="8"/>
      <c r="I13" s="155"/>
    </row>
    <row r="14">
      <c r="A14" s="96"/>
      <c r="B14" s="54">
        <f t="shared" si="1"/>
        <v>7</v>
      </c>
      <c r="C14" s="156" t="s">
        <v>347</v>
      </c>
      <c r="H14" s="8"/>
      <c r="I14" s="155"/>
    </row>
    <row r="15">
      <c r="A15" s="96"/>
      <c r="B15" s="54">
        <f t="shared" si="1"/>
        <v>8</v>
      </c>
      <c r="C15" s="152" t="s">
        <v>348</v>
      </c>
      <c r="H15" s="8"/>
      <c r="I15" s="155"/>
    </row>
    <row r="16">
      <c r="A16" s="96"/>
      <c r="B16" s="54">
        <f t="shared" si="1"/>
        <v>9</v>
      </c>
      <c r="C16" s="156" t="s">
        <v>349</v>
      </c>
      <c r="H16" s="8"/>
      <c r="I16" s="155"/>
    </row>
    <row r="17">
      <c r="A17" s="96"/>
      <c r="B17" s="54">
        <f t="shared" si="1"/>
        <v>10</v>
      </c>
      <c r="C17" s="156" t="s">
        <v>350</v>
      </c>
      <c r="H17" s="8"/>
      <c r="I17" s="155"/>
    </row>
    <row r="18">
      <c r="A18" s="96"/>
      <c r="B18" s="54">
        <f t="shared" si="1"/>
        <v>11</v>
      </c>
      <c r="C18" s="152" t="s">
        <v>351</v>
      </c>
      <c r="H18" s="8"/>
      <c r="I18" s="155"/>
    </row>
    <row r="19">
      <c r="A19" s="96"/>
      <c r="B19" s="54">
        <f t="shared" si="1"/>
        <v>12</v>
      </c>
      <c r="C19" s="152" t="s">
        <v>352</v>
      </c>
      <c r="H19" s="8"/>
      <c r="I19" s="157"/>
    </row>
    <row r="20">
      <c r="A20" s="96"/>
      <c r="B20" s="54">
        <f t="shared" si="1"/>
        <v>13</v>
      </c>
      <c r="C20" s="156" t="s">
        <v>353</v>
      </c>
      <c r="H20" s="8"/>
      <c r="I20" s="157"/>
    </row>
    <row r="21">
      <c r="A21" s="96"/>
      <c r="B21" s="54">
        <f t="shared" si="1"/>
        <v>14</v>
      </c>
      <c r="C21" s="152" t="s">
        <v>354</v>
      </c>
      <c r="H21" s="8"/>
      <c r="I21" s="155"/>
    </row>
    <row r="22">
      <c r="A22" s="96"/>
      <c r="B22" s="54">
        <f t="shared" si="1"/>
        <v>15</v>
      </c>
      <c r="C22" s="152" t="s">
        <v>355</v>
      </c>
      <c r="H22" s="8"/>
      <c r="I22" s="158"/>
    </row>
    <row r="23">
      <c r="A23" s="96"/>
      <c r="B23" s="54">
        <f t="shared" si="1"/>
        <v>16</v>
      </c>
      <c r="C23" s="159" t="s">
        <v>356</v>
      </c>
      <c r="H23" s="8"/>
      <c r="I23" s="158"/>
    </row>
    <row r="24">
      <c r="A24" s="96"/>
      <c r="B24" s="54">
        <f t="shared" si="1"/>
        <v>17</v>
      </c>
      <c r="C24" s="159" t="s">
        <v>357</v>
      </c>
      <c r="H24" s="8"/>
      <c r="I24" s="158"/>
    </row>
    <row r="25">
      <c r="A25" s="96"/>
      <c r="B25" s="54">
        <f t="shared" si="1"/>
        <v>18</v>
      </c>
      <c r="C25" s="159" t="s">
        <v>358</v>
      </c>
      <c r="H25" s="8"/>
      <c r="I25" s="158"/>
    </row>
    <row r="26">
      <c r="A26" s="96"/>
      <c r="B26" s="54">
        <f t="shared" si="1"/>
        <v>19</v>
      </c>
      <c r="C26" s="160" t="s">
        <v>359</v>
      </c>
      <c r="H26" s="8"/>
      <c r="I26" s="158"/>
    </row>
    <row r="27">
      <c r="A27" s="96"/>
      <c r="B27" s="54">
        <f t="shared" si="1"/>
        <v>20</v>
      </c>
      <c r="C27" s="160" t="s">
        <v>360</v>
      </c>
      <c r="H27" s="8"/>
      <c r="I27" s="158"/>
    </row>
    <row r="28">
      <c r="A28" s="96"/>
      <c r="B28" s="54">
        <f t="shared" si="1"/>
        <v>21</v>
      </c>
      <c r="C28" s="160" t="s">
        <v>361</v>
      </c>
      <c r="H28" s="8"/>
      <c r="I28" s="158"/>
    </row>
    <row r="29">
      <c r="A29" s="96"/>
      <c r="B29" s="54">
        <f t="shared" si="1"/>
        <v>22</v>
      </c>
      <c r="C29" s="160" t="s">
        <v>362</v>
      </c>
      <c r="H29" s="8"/>
      <c r="I29" s="158"/>
    </row>
    <row r="30">
      <c r="A30" s="96"/>
      <c r="B30" s="54">
        <f t="shared" si="1"/>
        <v>23</v>
      </c>
      <c r="C30" s="160" t="s">
        <v>363</v>
      </c>
      <c r="H30" s="8"/>
      <c r="I30" s="158"/>
    </row>
    <row r="31">
      <c r="A31" s="96"/>
      <c r="B31" s="54">
        <f t="shared" ref="B31:B33" si="2">B27+1</f>
        <v>21</v>
      </c>
      <c r="C31" s="160" t="s">
        <v>364</v>
      </c>
      <c r="H31" s="8"/>
      <c r="I31" s="158"/>
    </row>
    <row r="32">
      <c r="A32" s="96"/>
      <c r="B32" s="54">
        <f t="shared" si="2"/>
        <v>22</v>
      </c>
      <c r="C32" s="152" t="s">
        <v>365</v>
      </c>
      <c r="H32" s="8"/>
      <c r="I32" s="158"/>
    </row>
    <row r="33">
      <c r="A33" s="22"/>
      <c r="B33" s="54">
        <f t="shared" si="2"/>
        <v>23</v>
      </c>
      <c r="C33" s="152" t="s">
        <v>366</v>
      </c>
      <c r="H33" s="8"/>
      <c r="I33" s="158"/>
    </row>
    <row r="34">
      <c r="A34" s="49" t="s">
        <v>96</v>
      </c>
      <c r="B34" s="66">
        <f t="shared" ref="B34:B54" si="3">B33+1</f>
        <v>24</v>
      </c>
      <c r="C34" s="150" t="s">
        <v>367</v>
      </c>
      <c r="D34" s="20"/>
      <c r="E34" s="20"/>
      <c r="F34" s="20"/>
      <c r="G34" s="20"/>
      <c r="H34" s="21"/>
      <c r="I34" s="161"/>
    </row>
    <row r="35">
      <c r="A35" s="96"/>
      <c r="B35" s="81">
        <f t="shared" si="3"/>
        <v>25</v>
      </c>
      <c r="C35" s="152" t="s">
        <v>368</v>
      </c>
      <c r="H35" s="8"/>
      <c r="I35" s="158"/>
    </row>
    <row r="36">
      <c r="A36" s="96"/>
      <c r="B36" s="81">
        <f t="shared" si="3"/>
        <v>26</v>
      </c>
      <c r="C36" s="159" t="s">
        <v>369</v>
      </c>
      <c r="H36" s="8"/>
      <c r="I36" s="158"/>
    </row>
    <row r="37">
      <c r="A37" s="96"/>
      <c r="B37" s="81">
        <f t="shared" si="3"/>
        <v>27</v>
      </c>
      <c r="C37" s="152" t="s">
        <v>370</v>
      </c>
      <c r="H37" s="8"/>
      <c r="I37" s="158"/>
    </row>
    <row r="38">
      <c r="A38" s="96"/>
      <c r="B38" s="81">
        <f t="shared" si="3"/>
        <v>28</v>
      </c>
      <c r="C38" s="159" t="s">
        <v>371</v>
      </c>
      <c r="H38" s="8"/>
      <c r="I38" s="158"/>
    </row>
    <row r="39">
      <c r="A39" s="96"/>
      <c r="B39" s="81">
        <f t="shared" si="3"/>
        <v>29</v>
      </c>
      <c r="C39" s="152" t="s">
        <v>372</v>
      </c>
      <c r="H39" s="8"/>
      <c r="I39" s="158"/>
    </row>
    <row r="40">
      <c r="A40" s="96"/>
      <c r="B40" s="81">
        <f t="shared" si="3"/>
        <v>30</v>
      </c>
      <c r="C40" s="152" t="s">
        <v>373</v>
      </c>
      <c r="H40" s="8"/>
      <c r="I40" s="155"/>
    </row>
    <row r="41">
      <c r="A41" s="96"/>
      <c r="B41" s="81">
        <f t="shared" si="3"/>
        <v>31</v>
      </c>
      <c r="C41" s="162" t="s">
        <v>374</v>
      </c>
      <c r="H41" s="8"/>
      <c r="I41" s="155"/>
    </row>
    <row r="42">
      <c r="A42" s="96"/>
      <c r="B42" s="81">
        <f t="shared" si="3"/>
        <v>32</v>
      </c>
      <c r="C42" s="163" t="s">
        <v>375</v>
      </c>
      <c r="H42" s="8"/>
      <c r="I42" s="155"/>
    </row>
    <row r="43">
      <c r="A43" s="22"/>
      <c r="B43" s="81">
        <f t="shared" si="3"/>
        <v>33</v>
      </c>
      <c r="C43" s="163" t="s">
        <v>376</v>
      </c>
      <c r="H43" s="8"/>
      <c r="I43" s="155"/>
    </row>
    <row r="44">
      <c r="A44" s="164" t="s">
        <v>377</v>
      </c>
      <c r="B44" s="165">
        <f t="shared" si="3"/>
        <v>34</v>
      </c>
      <c r="C44" s="166" t="s">
        <v>378</v>
      </c>
      <c r="D44" s="20"/>
      <c r="E44" s="20"/>
      <c r="F44" s="20"/>
      <c r="G44" s="20"/>
      <c r="H44" s="21"/>
      <c r="I44" s="167"/>
    </row>
    <row r="45">
      <c r="A45" s="96"/>
      <c r="B45" s="168">
        <f t="shared" si="3"/>
        <v>35</v>
      </c>
      <c r="C45" s="169" t="s">
        <v>379</v>
      </c>
      <c r="H45" s="8"/>
      <c r="I45" s="167"/>
    </row>
    <row r="46">
      <c r="A46" s="96"/>
      <c r="B46" s="168">
        <f t="shared" si="3"/>
        <v>36</v>
      </c>
      <c r="C46" s="169" t="s">
        <v>380</v>
      </c>
      <c r="H46" s="8"/>
      <c r="I46" s="167"/>
    </row>
    <row r="47">
      <c r="A47" s="96"/>
      <c r="B47" s="168">
        <f t="shared" si="3"/>
        <v>37</v>
      </c>
      <c r="C47" s="169" t="s">
        <v>381</v>
      </c>
      <c r="H47" s="8"/>
      <c r="I47" s="167"/>
    </row>
    <row r="48">
      <c r="A48" s="96"/>
      <c r="B48" s="168">
        <f t="shared" si="3"/>
        <v>38</v>
      </c>
      <c r="C48" s="169" t="s">
        <v>382</v>
      </c>
      <c r="H48" s="8"/>
      <c r="I48" s="167"/>
    </row>
    <row r="49">
      <c r="A49" s="96"/>
      <c r="B49" s="168">
        <f t="shared" si="3"/>
        <v>39</v>
      </c>
      <c r="C49" s="169" t="s">
        <v>383</v>
      </c>
      <c r="H49" s="8"/>
      <c r="I49" s="167"/>
    </row>
    <row r="50">
      <c r="A50" s="96"/>
      <c r="B50" s="168">
        <f t="shared" si="3"/>
        <v>40</v>
      </c>
      <c r="C50" s="169" t="s">
        <v>384</v>
      </c>
      <c r="H50" s="8"/>
      <c r="I50" s="167"/>
    </row>
    <row r="51">
      <c r="A51" s="96"/>
      <c r="B51" s="168">
        <f t="shared" si="3"/>
        <v>41</v>
      </c>
      <c r="C51" s="169" t="s">
        <v>385</v>
      </c>
      <c r="H51" s="8"/>
      <c r="I51" s="167"/>
    </row>
    <row r="52">
      <c r="A52" s="96"/>
      <c r="B52" s="168">
        <f t="shared" si="3"/>
        <v>42</v>
      </c>
      <c r="C52" s="169" t="s">
        <v>386</v>
      </c>
      <c r="H52" s="8"/>
      <c r="I52" s="167"/>
    </row>
    <row r="53">
      <c r="A53" s="96"/>
      <c r="B53" s="168">
        <f t="shared" si="3"/>
        <v>43</v>
      </c>
      <c r="C53" s="170" t="s">
        <v>387</v>
      </c>
      <c r="H53" s="8"/>
      <c r="I53" s="167"/>
    </row>
    <row r="54">
      <c r="A54" s="22"/>
      <c r="B54" s="168">
        <f t="shared" si="3"/>
        <v>44</v>
      </c>
      <c r="C54" s="171" t="s">
        <v>388</v>
      </c>
      <c r="D54" s="13"/>
      <c r="E54" s="13"/>
      <c r="F54" s="13"/>
      <c r="G54" s="13"/>
      <c r="H54" s="14"/>
      <c r="I54" s="167"/>
    </row>
    <row r="55">
      <c r="A55" s="167"/>
      <c r="B55" s="167"/>
      <c r="C55" s="167"/>
      <c r="D55" s="167"/>
      <c r="E55" s="167"/>
      <c r="F55" s="167"/>
      <c r="G55" s="167"/>
      <c r="H55" s="167"/>
      <c r="I55" s="167"/>
    </row>
    <row r="56">
      <c r="A56" s="167"/>
      <c r="B56" s="167"/>
      <c r="C56" s="167"/>
      <c r="D56" s="167"/>
      <c r="E56" s="167"/>
      <c r="F56" s="167"/>
      <c r="G56" s="167"/>
      <c r="H56" s="167"/>
      <c r="I56" s="167"/>
    </row>
    <row r="57">
      <c r="A57" s="167"/>
      <c r="B57" s="167"/>
      <c r="C57" s="167"/>
      <c r="D57" s="167"/>
      <c r="E57" s="167"/>
      <c r="F57" s="167"/>
      <c r="G57" s="167"/>
      <c r="H57" s="167"/>
      <c r="I57" s="167"/>
    </row>
    <row r="58">
      <c r="A58" s="167"/>
      <c r="B58" s="167"/>
      <c r="C58" s="167"/>
      <c r="D58" s="167"/>
      <c r="E58" s="167"/>
      <c r="F58" s="167"/>
      <c r="G58" s="167"/>
      <c r="H58" s="167"/>
      <c r="I58" s="167"/>
    </row>
    <row r="59">
      <c r="A59" s="167"/>
      <c r="B59" s="167"/>
      <c r="C59" s="167"/>
      <c r="D59" s="167"/>
      <c r="E59" s="167"/>
      <c r="F59" s="167"/>
      <c r="G59" s="167"/>
      <c r="H59" s="167"/>
      <c r="I59" s="167"/>
    </row>
    <row r="60">
      <c r="A60" s="167"/>
      <c r="B60" s="167"/>
      <c r="C60" s="167"/>
      <c r="D60" s="167"/>
      <c r="E60" s="167"/>
      <c r="F60" s="167"/>
      <c r="G60" s="167"/>
      <c r="H60" s="167"/>
      <c r="I60" s="167"/>
    </row>
    <row r="61">
      <c r="A61" s="167"/>
      <c r="B61" s="167"/>
      <c r="C61" s="167"/>
      <c r="D61" s="167"/>
      <c r="E61" s="167"/>
      <c r="F61" s="167"/>
      <c r="G61" s="167"/>
      <c r="H61" s="167"/>
      <c r="I61" s="167"/>
    </row>
    <row r="62">
      <c r="A62" s="167"/>
      <c r="B62" s="167"/>
      <c r="C62" s="167"/>
      <c r="D62" s="167"/>
      <c r="E62" s="167"/>
      <c r="F62" s="167"/>
      <c r="G62" s="167"/>
      <c r="H62" s="167"/>
      <c r="I62" s="167"/>
    </row>
    <row r="63">
      <c r="A63" s="167"/>
      <c r="B63" s="167"/>
      <c r="C63" s="167"/>
      <c r="D63" s="167"/>
      <c r="E63" s="167"/>
      <c r="F63" s="167"/>
      <c r="G63" s="167"/>
      <c r="H63" s="167"/>
      <c r="I63" s="167"/>
    </row>
    <row r="64">
      <c r="A64" s="167"/>
      <c r="B64" s="167"/>
      <c r="C64" s="167"/>
      <c r="D64" s="167"/>
      <c r="E64" s="167"/>
      <c r="F64" s="167"/>
      <c r="G64" s="167"/>
      <c r="H64" s="167"/>
      <c r="I64" s="167"/>
    </row>
    <row r="65">
      <c r="A65" s="167"/>
      <c r="B65" s="167"/>
      <c r="C65" s="167"/>
      <c r="D65" s="167"/>
      <c r="E65" s="167"/>
      <c r="F65" s="167"/>
      <c r="G65" s="167"/>
      <c r="H65" s="167"/>
      <c r="I65" s="167"/>
    </row>
    <row r="66">
      <c r="A66" s="167"/>
      <c r="B66" s="167"/>
      <c r="C66" s="167"/>
      <c r="D66" s="167"/>
      <c r="E66" s="167"/>
      <c r="F66" s="167"/>
      <c r="G66" s="167"/>
      <c r="H66" s="167"/>
      <c r="I66" s="167"/>
    </row>
    <row r="67">
      <c r="A67" s="167"/>
      <c r="B67" s="167"/>
      <c r="C67" s="167"/>
      <c r="D67" s="167"/>
      <c r="E67" s="167"/>
      <c r="F67" s="167"/>
      <c r="G67" s="167"/>
      <c r="H67" s="167"/>
      <c r="I67" s="167"/>
    </row>
    <row r="68">
      <c r="A68" s="167"/>
      <c r="B68" s="167"/>
      <c r="C68" s="167"/>
      <c r="D68" s="167"/>
      <c r="E68" s="167"/>
      <c r="F68" s="167"/>
      <c r="G68" s="167"/>
      <c r="H68" s="167"/>
      <c r="I68" s="167"/>
    </row>
    <row r="69">
      <c r="A69" s="167"/>
      <c r="B69" s="167"/>
      <c r="C69" s="167"/>
      <c r="D69" s="167"/>
      <c r="E69" s="167"/>
      <c r="F69" s="167"/>
      <c r="G69" s="167"/>
      <c r="H69" s="167"/>
      <c r="I69" s="167"/>
    </row>
    <row r="70">
      <c r="A70" s="167"/>
      <c r="B70" s="167"/>
      <c r="C70" s="167"/>
      <c r="D70" s="167"/>
      <c r="E70" s="167"/>
      <c r="F70" s="167"/>
      <c r="G70" s="167"/>
      <c r="H70" s="167"/>
      <c r="I70" s="167"/>
    </row>
    <row r="71">
      <c r="A71" s="167"/>
      <c r="B71" s="167"/>
      <c r="C71" s="167"/>
      <c r="D71" s="167"/>
      <c r="E71" s="167"/>
      <c r="F71" s="167"/>
      <c r="G71" s="167"/>
      <c r="H71" s="167"/>
      <c r="I71" s="167"/>
    </row>
    <row r="72">
      <c r="A72" s="167"/>
      <c r="B72" s="167"/>
      <c r="C72" s="167"/>
      <c r="D72" s="167"/>
      <c r="E72" s="167"/>
      <c r="F72" s="167"/>
      <c r="G72" s="167"/>
      <c r="H72" s="167"/>
      <c r="I72" s="167"/>
    </row>
    <row r="73">
      <c r="A73" s="167"/>
      <c r="B73" s="167"/>
      <c r="C73" s="167"/>
      <c r="D73" s="167"/>
      <c r="E73" s="167"/>
      <c r="F73" s="167"/>
      <c r="G73" s="167"/>
      <c r="H73" s="167"/>
      <c r="I73" s="167"/>
    </row>
    <row r="74">
      <c r="A74" s="167"/>
      <c r="B74" s="167"/>
      <c r="C74" s="167"/>
      <c r="D74" s="167"/>
      <c r="E74" s="167"/>
      <c r="F74" s="167"/>
      <c r="G74" s="167"/>
      <c r="H74" s="167"/>
      <c r="I74" s="167"/>
    </row>
    <row r="75">
      <c r="A75" s="167"/>
      <c r="B75" s="167"/>
      <c r="C75" s="167"/>
      <c r="D75" s="167"/>
      <c r="E75" s="167"/>
      <c r="F75" s="167"/>
      <c r="G75" s="167"/>
      <c r="H75" s="167"/>
      <c r="I75" s="167"/>
    </row>
    <row r="76">
      <c r="A76" s="167"/>
      <c r="B76" s="167"/>
      <c r="C76" s="167"/>
      <c r="D76" s="167"/>
      <c r="E76" s="167"/>
      <c r="F76" s="167"/>
      <c r="G76" s="167"/>
      <c r="H76" s="167"/>
      <c r="I76" s="167"/>
    </row>
    <row r="77">
      <c r="A77" s="167"/>
      <c r="B77" s="167"/>
      <c r="C77" s="167"/>
      <c r="D77" s="167"/>
      <c r="E77" s="167"/>
      <c r="F77" s="167"/>
      <c r="G77" s="167"/>
      <c r="H77" s="167"/>
      <c r="I77" s="167"/>
    </row>
    <row r="78">
      <c r="A78" s="167"/>
      <c r="B78" s="167"/>
      <c r="C78" s="167"/>
      <c r="D78" s="167"/>
      <c r="E78" s="167"/>
      <c r="F78" s="167"/>
      <c r="G78" s="167"/>
      <c r="H78" s="167"/>
      <c r="I78" s="167"/>
    </row>
    <row r="79">
      <c r="A79" s="167"/>
      <c r="B79" s="167"/>
      <c r="C79" s="167"/>
      <c r="D79" s="167"/>
      <c r="E79" s="167"/>
      <c r="F79" s="167"/>
      <c r="G79" s="167"/>
      <c r="H79" s="167"/>
      <c r="I79" s="167"/>
    </row>
    <row r="80">
      <c r="A80" s="167"/>
      <c r="B80" s="167"/>
      <c r="C80" s="167"/>
      <c r="D80" s="167"/>
      <c r="E80" s="167"/>
      <c r="F80" s="167"/>
      <c r="G80" s="167"/>
      <c r="H80" s="167"/>
      <c r="I80" s="167"/>
    </row>
    <row r="81">
      <c r="A81" s="167"/>
      <c r="B81" s="167"/>
      <c r="C81" s="167"/>
      <c r="D81" s="167"/>
      <c r="E81" s="167"/>
      <c r="F81" s="167"/>
      <c r="G81" s="167"/>
      <c r="H81" s="167"/>
      <c r="I81" s="167"/>
    </row>
    <row r="82">
      <c r="A82" s="167"/>
      <c r="B82" s="167"/>
      <c r="C82" s="167"/>
      <c r="D82" s="167"/>
      <c r="E82" s="167"/>
      <c r="F82" s="167"/>
      <c r="G82" s="167"/>
      <c r="H82" s="167"/>
      <c r="I82" s="167"/>
    </row>
    <row r="83">
      <c r="A83" s="167"/>
      <c r="B83" s="167"/>
      <c r="C83" s="167"/>
      <c r="D83" s="167"/>
      <c r="E83" s="167"/>
      <c r="F83" s="167"/>
      <c r="G83" s="167"/>
      <c r="H83" s="167"/>
      <c r="I83" s="167"/>
    </row>
    <row r="84">
      <c r="A84" s="167"/>
      <c r="B84" s="167"/>
      <c r="C84" s="167"/>
      <c r="D84" s="167"/>
      <c r="E84" s="167"/>
      <c r="F84" s="167"/>
      <c r="G84" s="167"/>
      <c r="H84" s="167"/>
      <c r="I84" s="167"/>
    </row>
    <row r="85">
      <c r="A85" s="167"/>
      <c r="B85" s="167"/>
      <c r="C85" s="167"/>
      <c r="D85" s="167"/>
      <c r="E85" s="167"/>
      <c r="F85" s="167"/>
      <c r="G85" s="167"/>
      <c r="H85" s="167"/>
      <c r="I85" s="167"/>
    </row>
    <row r="86">
      <c r="A86" s="167"/>
      <c r="B86" s="167"/>
      <c r="C86" s="167"/>
      <c r="D86" s="167"/>
      <c r="E86" s="167"/>
      <c r="F86" s="167"/>
      <c r="G86" s="167"/>
      <c r="H86" s="167"/>
      <c r="I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</row>
    <row r="92">
      <c r="A92" s="167"/>
      <c r="B92" s="167"/>
      <c r="C92" s="167"/>
      <c r="D92" s="167"/>
      <c r="E92" s="167"/>
      <c r="F92" s="167"/>
      <c r="G92" s="167"/>
      <c r="H92" s="167"/>
      <c r="I92" s="167"/>
    </row>
    <row r="93">
      <c r="A93" s="167"/>
      <c r="B93" s="167"/>
      <c r="C93" s="167"/>
      <c r="D93" s="167"/>
      <c r="E93" s="167"/>
      <c r="F93" s="167"/>
      <c r="G93" s="167"/>
      <c r="H93" s="167"/>
      <c r="I93" s="167"/>
    </row>
    <row r="94">
      <c r="A94" s="167"/>
      <c r="B94" s="167"/>
      <c r="C94" s="167"/>
      <c r="D94" s="167"/>
      <c r="E94" s="167"/>
      <c r="F94" s="167"/>
      <c r="G94" s="167"/>
      <c r="H94" s="167"/>
      <c r="I94" s="167"/>
    </row>
    <row r="95">
      <c r="A95" s="167"/>
      <c r="B95" s="167"/>
      <c r="C95" s="167"/>
      <c r="D95" s="167"/>
      <c r="E95" s="167"/>
      <c r="F95" s="167"/>
      <c r="G95" s="167"/>
      <c r="H95" s="167"/>
      <c r="I95" s="167"/>
    </row>
    <row r="96">
      <c r="A96" s="167"/>
      <c r="B96" s="167"/>
      <c r="C96" s="167"/>
      <c r="D96" s="167"/>
      <c r="E96" s="167"/>
      <c r="F96" s="167"/>
      <c r="G96" s="167"/>
      <c r="H96" s="167"/>
      <c r="I96" s="167"/>
    </row>
    <row r="97">
      <c r="A97" s="167"/>
      <c r="B97" s="167"/>
      <c r="C97" s="167"/>
      <c r="D97" s="167"/>
      <c r="E97" s="167"/>
      <c r="F97" s="167"/>
      <c r="G97" s="167"/>
      <c r="H97" s="167"/>
      <c r="I97" s="167"/>
    </row>
    <row r="98">
      <c r="A98" s="167"/>
      <c r="B98" s="167"/>
      <c r="C98" s="167"/>
      <c r="D98" s="167"/>
      <c r="E98" s="167"/>
      <c r="F98" s="167"/>
      <c r="G98" s="167"/>
      <c r="H98" s="167"/>
      <c r="I98" s="167"/>
    </row>
    <row r="99">
      <c r="A99" s="167"/>
      <c r="B99" s="167"/>
      <c r="C99" s="167"/>
      <c r="D99" s="167"/>
      <c r="E99" s="167"/>
      <c r="F99" s="167"/>
      <c r="G99" s="167"/>
      <c r="H99" s="167"/>
      <c r="I99" s="167"/>
    </row>
    <row r="100">
      <c r="A100" s="167"/>
      <c r="B100" s="167"/>
      <c r="C100" s="167"/>
      <c r="D100" s="167"/>
      <c r="E100" s="167"/>
      <c r="F100" s="167"/>
      <c r="G100" s="167"/>
      <c r="H100" s="167"/>
      <c r="I100" s="167"/>
    </row>
    <row r="101">
      <c r="A101" s="167"/>
      <c r="B101" s="167"/>
      <c r="C101" s="167"/>
      <c r="D101" s="167"/>
      <c r="E101" s="167"/>
      <c r="F101" s="167"/>
      <c r="G101" s="167"/>
      <c r="H101" s="167"/>
      <c r="I101" s="167"/>
    </row>
    <row r="102">
      <c r="A102" s="167"/>
      <c r="B102" s="167"/>
      <c r="C102" s="167"/>
      <c r="D102" s="167"/>
      <c r="E102" s="167"/>
      <c r="F102" s="167"/>
      <c r="G102" s="167"/>
      <c r="H102" s="167"/>
      <c r="I102" s="167"/>
    </row>
    <row r="103">
      <c r="A103" s="167"/>
      <c r="B103" s="167"/>
      <c r="C103" s="167"/>
      <c r="D103" s="167"/>
      <c r="E103" s="167"/>
      <c r="F103" s="167"/>
      <c r="G103" s="167"/>
      <c r="H103" s="167"/>
      <c r="I103" s="167"/>
    </row>
    <row r="104">
      <c r="A104" s="167"/>
      <c r="B104" s="167"/>
      <c r="C104" s="167"/>
      <c r="D104" s="167"/>
      <c r="E104" s="167"/>
      <c r="F104" s="167"/>
      <c r="G104" s="167"/>
      <c r="H104" s="167"/>
      <c r="I104" s="167"/>
    </row>
    <row r="105">
      <c r="A105" s="167"/>
      <c r="B105" s="167"/>
      <c r="C105" s="167"/>
      <c r="D105" s="167"/>
      <c r="E105" s="167"/>
      <c r="F105" s="167"/>
      <c r="G105" s="167"/>
      <c r="H105" s="167"/>
      <c r="I105" s="167"/>
    </row>
    <row r="106">
      <c r="A106" s="167"/>
      <c r="B106" s="167"/>
      <c r="C106" s="167"/>
      <c r="D106" s="167"/>
      <c r="E106" s="167"/>
      <c r="F106" s="167"/>
      <c r="G106" s="167"/>
      <c r="H106" s="167"/>
      <c r="I106" s="167"/>
    </row>
    <row r="107">
      <c r="A107" s="167"/>
      <c r="B107" s="167"/>
      <c r="C107" s="167"/>
      <c r="D107" s="167"/>
      <c r="E107" s="167"/>
      <c r="F107" s="167"/>
      <c r="G107" s="167"/>
      <c r="H107" s="167"/>
      <c r="I107" s="167"/>
    </row>
    <row r="108">
      <c r="A108" s="167"/>
      <c r="B108" s="167"/>
      <c r="C108" s="167"/>
      <c r="D108" s="167"/>
      <c r="E108" s="167"/>
      <c r="F108" s="167"/>
      <c r="G108" s="167"/>
      <c r="H108" s="167"/>
      <c r="I108" s="167"/>
    </row>
    <row r="109">
      <c r="A109" s="167"/>
      <c r="B109" s="167"/>
      <c r="C109" s="167"/>
      <c r="D109" s="167"/>
      <c r="E109" s="167"/>
      <c r="F109" s="167"/>
      <c r="G109" s="167"/>
      <c r="H109" s="167"/>
      <c r="I109" s="167"/>
    </row>
    <row r="110">
      <c r="A110" s="167"/>
      <c r="B110" s="167"/>
      <c r="C110" s="167"/>
      <c r="D110" s="167"/>
      <c r="E110" s="167"/>
      <c r="F110" s="167"/>
      <c r="G110" s="167"/>
      <c r="H110" s="167"/>
      <c r="I110" s="167"/>
    </row>
    <row r="111">
      <c r="A111" s="167"/>
      <c r="B111" s="167"/>
      <c r="C111" s="167"/>
      <c r="D111" s="167"/>
      <c r="E111" s="167"/>
      <c r="F111" s="167"/>
      <c r="G111" s="167"/>
      <c r="H111" s="167"/>
      <c r="I111" s="167"/>
    </row>
    <row r="112">
      <c r="A112" s="167"/>
      <c r="B112" s="167"/>
      <c r="C112" s="167"/>
      <c r="D112" s="167"/>
      <c r="E112" s="167"/>
      <c r="F112" s="167"/>
      <c r="G112" s="167"/>
      <c r="H112" s="167"/>
      <c r="I112" s="167"/>
    </row>
    <row r="113">
      <c r="A113" s="167"/>
      <c r="B113" s="167"/>
      <c r="C113" s="167"/>
      <c r="D113" s="167"/>
      <c r="E113" s="167"/>
      <c r="F113" s="167"/>
      <c r="G113" s="167"/>
      <c r="H113" s="167"/>
      <c r="I113" s="167"/>
    </row>
    <row r="114">
      <c r="A114" s="167"/>
      <c r="B114" s="167"/>
      <c r="C114" s="167"/>
      <c r="D114" s="167"/>
      <c r="E114" s="167"/>
      <c r="F114" s="167"/>
      <c r="G114" s="167"/>
      <c r="H114" s="167"/>
      <c r="I114" s="167"/>
    </row>
    <row r="115">
      <c r="A115" s="167"/>
      <c r="B115" s="167"/>
      <c r="C115" s="167"/>
      <c r="D115" s="167"/>
      <c r="E115" s="167"/>
      <c r="F115" s="167"/>
      <c r="G115" s="167"/>
      <c r="H115" s="167"/>
      <c r="I115" s="167"/>
    </row>
    <row r="116">
      <c r="A116" s="167"/>
      <c r="B116" s="167"/>
      <c r="C116" s="167"/>
      <c r="D116" s="167"/>
      <c r="E116" s="167"/>
      <c r="F116" s="167"/>
      <c r="G116" s="167"/>
      <c r="H116" s="167"/>
      <c r="I116" s="167"/>
    </row>
    <row r="117">
      <c r="A117" s="167"/>
      <c r="B117" s="167"/>
      <c r="C117" s="167"/>
      <c r="D117" s="167"/>
      <c r="E117" s="167"/>
      <c r="F117" s="167"/>
      <c r="G117" s="167"/>
      <c r="H117" s="167"/>
      <c r="I117" s="167"/>
    </row>
    <row r="118">
      <c r="A118" s="167"/>
      <c r="B118" s="167"/>
      <c r="C118" s="167"/>
      <c r="D118" s="167"/>
      <c r="E118" s="167"/>
      <c r="F118" s="167"/>
      <c r="G118" s="167"/>
      <c r="H118" s="167"/>
      <c r="I118" s="167"/>
    </row>
    <row r="119">
      <c r="A119" s="167"/>
      <c r="B119" s="167"/>
      <c r="C119" s="167"/>
      <c r="D119" s="167"/>
      <c r="E119" s="167"/>
      <c r="F119" s="167"/>
      <c r="G119" s="167"/>
      <c r="H119" s="167"/>
      <c r="I119" s="167"/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</row>
    <row r="123">
      <c r="A123" s="167"/>
      <c r="B123" s="167"/>
      <c r="C123" s="167"/>
      <c r="D123" s="167"/>
      <c r="E123" s="167"/>
      <c r="F123" s="167"/>
      <c r="G123" s="167"/>
      <c r="H123" s="167"/>
      <c r="I123" s="167"/>
    </row>
    <row r="124">
      <c r="A124" s="167"/>
      <c r="B124" s="167"/>
      <c r="C124" s="167"/>
      <c r="D124" s="167"/>
      <c r="E124" s="167"/>
      <c r="F124" s="167"/>
      <c r="G124" s="167"/>
      <c r="H124" s="167"/>
      <c r="I124" s="167"/>
    </row>
    <row r="125">
      <c r="A125" s="167"/>
      <c r="B125" s="167"/>
      <c r="C125" s="167"/>
      <c r="D125" s="167"/>
      <c r="E125" s="167"/>
      <c r="F125" s="167"/>
      <c r="G125" s="167"/>
      <c r="H125" s="167"/>
      <c r="I125" s="167"/>
    </row>
    <row r="126">
      <c r="A126" s="167"/>
      <c r="B126" s="167"/>
      <c r="C126" s="167"/>
      <c r="D126" s="167"/>
      <c r="E126" s="167"/>
      <c r="F126" s="167"/>
      <c r="G126" s="167"/>
      <c r="H126" s="167"/>
      <c r="I126" s="167"/>
    </row>
    <row r="127">
      <c r="A127" s="167"/>
      <c r="B127" s="167"/>
      <c r="C127" s="167"/>
      <c r="D127" s="167"/>
      <c r="E127" s="167"/>
      <c r="F127" s="167"/>
      <c r="G127" s="167"/>
      <c r="H127" s="167"/>
      <c r="I127" s="167"/>
    </row>
    <row r="128">
      <c r="A128" s="167"/>
      <c r="B128" s="167"/>
      <c r="C128" s="167"/>
      <c r="D128" s="167"/>
      <c r="E128" s="167"/>
      <c r="F128" s="167"/>
      <c r="G128" s="167"/>
      <c r="H128" s="167"/>
      <c r="I128" s="167"/>
    </row>
    <row r="129">
      <c r="A129" s="167"/>
      <c r="B129" s="167"/>
      <c r="C129" s="167"/>
      <c r="D129" s="167"/>
      <c r="E129" s="167"/>
      <c r="F129" s="167"/>
      <c r="G129" s="167"/>
      <c r="H129" s="167"/>
      <c r="I129" s="167"/>
    </row>
    <row r="130">
      <c r="A130" s="167"/>
      <c r="B130" s="167"/>
      <c r="C130" s="167"/>
      <c r="D130" s="167"/>
      <c r="E130" s="167"/>
      <c r="F130" s="167"/>
      <c r="G130" s="167"/>
      <c r="H130" s="167"/>
      <c r="I130" s="167"/>
    </row>
    <row r="131">
      <c r="A131" s="167"/>
      <c r="B131" s="167"/>
      <c r="C131" s="167"/>
      <c r="D131" s="167"/>
      <c r="E131" s="167"/>
      <c r="F131" s="167"/>
      <c r="G131" s="167"/>
      <c r="H131" s="167"/>
      <c r="I131" s="167"/>
    </row>
    <row r="132">
      <c r="A132" s="167"/>
      <c r="B132" s="167"/>
      <c r="C132" s="167"/>
      <c r="D132" s="167"/>
      <c r="E132" s="167"/>
      <c r="F132" s="167"/>
      <c r="G132" s="167"/>
      <c r="H132" s="167"/>
      <c r="I132" s="167"/>
    </row>
    <row r="133">
      <c r="A133" s="167"/>
      <c r="B133" s="167"/>
      <c r="C133" s="167"/>
      <c r="D133" s="167"/>
      <c r="E133" s="167"/>
      <c r="F133" s="167"/>
      <c r="G133" s="167"/>
      <c r="H133" s="167"/>
      <c r="I133" s="167"/>
    </row>
    <row r="134">
      <c r="A134" s="167"/>
      <c r="B134" s="167"/>
      <c r="C134" s="167"/>
      <c r="D134" s="167"/>
      <c r="E134" s="167"/>
      <c r="F134" s="167"/>
      <c r="G134" s="167"/>
      <c r="H134" s="167"/>
      <c r="I134" s="167"/>
    </row>
    <row r="135">
      <c r="A135" s="167"/>
      <c r="B135" s="167"/>
      <c r="C135" s="167"/>
      <c r="D135" s="167"/>
      <c r="E135" s="167"/>
      <c r="F135" s="167"/>
      <c r="G135" s="167"/>
      <c r="H135" s="167"/>
      <c r="I135" s="167"/>
    </row>
    <row r="136">
      <c r="A136" s="167"/>
      <c r="B136" s="167"/>
      <c r="C136" s="167"/>
      <c r="D136" s="167"/>
      <c r="E136" s="167"/>
      <c r="F136" s="167"/>
      <c r="G136" s="167"/>
      <c r="H136" s="167"/>
      <c r="I136" s="167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</row>
    <row r="140">
      <c r="A140" s="167"/>
      <c r="B140" s="167"/>
      <c r="C140" s="167"/>
      <c r="D140" s="167"/>
      <c r="E140" s="167"/>
      <c r="F140" s="167"/>
      <c r="G140" s="167"/>
      <c r="H140" s="167"/>
      <c r="I140" s="167"/>
    </row>
    <row r="141">
      <c r="A141" s="167"/>
      <c r="B141" s="167"/>
      <c r="C141" s="167"/>
      <c r="D141" s="167"/>
      <c r="E141" s="167"/>
      <c r="F141" s="167"/>
      <c r="G141" s="167"/>
      <c r="H141" s="167"/>
      <c r="I141" s="167"/>
    </row>
    <row r="142">
      <c r="A142" s="167"/>
      <c r="B142" s="167"/>
      <c r="C142" s="167"/>
      <c r="D142" s="167"/>
      <c r="E142" s="167"/>
      <c r="F142" s="167"/>
      <c r="G142" s="167"/>
      <c r="H142" s="167"/>
      <c r="I142" s="167"/>
    </row>
    <row r="143">
      <c r="A143" s="167"/>
      <c r="B143" s="167"/>
      <c r="C143" s="167"/>
      <c r="D143" s="167"/>
      <c r="E143" s="167"/>
      <c r="F143" s="167"/>
      <c r="G143" s="167"/>
      <c r="H143" s="167"/>
      <c r="I143" s="167"/>
    </row>
    <row r="144">
      <c r="A144" s="167"/>
      <c r="B144" s="167"/>
      <c r="C144" s="167"/>
      <c r="D144" s="167"/>
      <c r="E144" s="167"/>
      <c r="F144" s="167"/>
      <c r="G144" s="167"/>
      <c r="H144" s="167"/>
      <c r="I144" s="167"/>
    </row>
    <row r="145">
      <c r="A145" s="167"/>
      <c r="B145" s="167"/>
      <c r="C145" s="167"/>
      <c r="D145" s="167"/>
      <c r="E145" s="167"/>
      <c r="F145" s="167"/>
      <c r="G145" s="167"/>
      <c r="H145" s="167"/>
      <c r="I145" s="167"/>
    </row>
    <row r="146">
      <c r="A146" s="167"/>
      <c r="B146" s="167"/>
      <c r="C146" s="167"/>
      <c r="D146" s="167"/>
      <c r="E146" s="167"/>
      <c r="F146" s="167"/>
      <c r="G146" s="167"/>
      <c r="H146" s="167"/>
      <c r="I146" s="167"/>
    </row>
    <row r="147">
      <c r="A147" s="167"/>
      <c r="B147" s="167"/>
      <c r="C147" s="167"/>
      <c r="D147" s="167"/>
      <c r="E147" s="167"/>
      <c r="F147" s="167"/>
      <c r="G147" s="167"/>
      <c r="H147" s="167"/>
      <c r="I147" s="167"/>
    </row>
    <row r="148">
      <c r="A148" s="167"/>
      <c r="B148" s="167"/>
      <c r="C148" s="167"/>
      <c r="D148" s="167"/>
      <c r="E148" s="167"/>
      <c r="F148" s="167"/>
      <c r="G148" s="167"/>
      <c r="H148" s="167"/>
      <c r="I148" s="167"/>
    </row>
    <row r="149">
      <c r="A149" s="167"/>
      <c r="B149" s="167"/>
      <c r="C149" s="167"/>
      <c r="D149" s="167"/>
      <c r="E149" s="167"/>
      <c r="F149" s="167"/>
      <c r="G149" s="167"/>
      <c r="H149" s="167"/>
      <c r="I149" s="167"/>
    </row>
    <row r="150">
      <c r="A150" s="167"/>
      <c r="B150" s="167"/>
      <c r="C150" s="167"/>
      <c r="D150" s="167"/>
      <c r="E150" s="167"/>
      <c r="F150" s="167"/>
      <c r="G150" s="167"/>
      <c r="H150" s="167"/>
      <c r="I150" s="167"/>
    </row>
    <row r="151">
      <c r="A151" s="167"/>
      <c r="B151" s="167"/>
      <c r="C151" s="167"/>
      <c r="D151" s="167"/>
      <c r="E151" s="167"/>
      <c r="F151" s="167"/>
      <c r="G151" s="167"/>
      <c r="H151" s="167"/>
      <c r="I151" s="167"/>
    </row>
    <row r="152">
      <c r="A152" s="167"/>
      <c r="B152" s="167"/>
      <c r="C152" s="167"/>
      <c r="D152" s="167"/>
      <c r="E152" s="167"/>
      <c r="F152" s="167"/>
      <c r="G152" s="167"/>
      <c r="H152" s="167"/>
      <c r="I152" s="167"/>
    </row>
    <row r="153">
      <c r="A153" s="167"/>
      <c r="B153" s="167"/>
      <c r="C153" s="167"/>
      <c r="D153" s="167"/>
      <c r="E153" s="167"/>
      <c r="F153" s="167"/>
      <c r="G153" s="167"/>
      <c r="H153" s="167"/>
      <c r="I153" s="167"/>
    </row>
    <row r="154">
      <c r="A154" s="167"/>
      <c r="B154" s="167"/>
      <c r="C154" s="167"/>
      <c r="D154" s="167"/>
      <c r="E154" s="167"/>
      <c r="F154" s="167"/>
      <c r="G154" s="167"/>
      <c r="H154" s="167"/>
      <c r="I154" s="167"/>
    </row>
    <row r="155">
      <c r="A155" s="167"/>
      <c r="B155" s="167"/>
      <c r="C155" s="167"/>
      <c r="D155" s="167"/>
      <c r="E155" s="167"/>
      <c r="F155" s="167"/>
      <c r="G155" s="167"/>
      <c r="H155" s="167"/>
      <c r="I155" s="167"/>
    </row>
    <row r="156">
      <c r="A156" s="167"/>
      <c r="B156" s="167"/>
      <c r="C156" s="167"/>
      <c r="D156" s="167"/>
      <c r="E156" s="167"/>
      <c r="F156" s="167"/>
      <c r="G156" s="167"/>
      <c r="H156" s="167"/>
      <c r="I156" s="167"/>
    </row>
    <row r="157">
      <c r="A157" s="167"/>
      <c r="B157" s="167"/>
      <c r="C157" s="167"/>
      <c r="D157" s="167"/>
      <c r="E157" s="167"/>
      <c r="F157" s="167"/>
      <c r="G157" s="167"/>
      <c r="H157" s="167"/>
      <c r="I157" s="167"/>
    </row>
    <row r="158">
      <c r="A158" s="167"/>
      <c r="B158" s="167"/>
      <c r="C158" s="167"/>
      <c r="D158" s="167"/>
      <c r="E158" s="167"/>
      <c r="F158" s="167"/>
      <c r="G158" s="167"/>
      <c r="H158" s="167"/>
      <c r="I158" s="167"/>
    </row>
    <row r="159">
      <c r="A159" s="167"/>
      <c r="B159" s="167"/>
      <c r="C159" s="167"/>
      <c r="D159" s="167"/>
      <c r="E159" s="167"/>
      <c r="F159" s="167"/>
      <c r="G159" s="167"/>
      <c r="H159" s="167"/>
      <c r="I159" s="167"/>
    </row>
    <row r="160">
      <c r="A160" s="167"/>
      <c r="B160" s="167"/>
      <c r="C160" s="167"/>
      <c r="D160" s="167"/>
      <c r="E160" s="167"/>
      <c r="F160" s="167"/>
      <c r="G160" s="167"/>
      <c r="H160" s="167"/>
      <c r="I160" s="167"/>
    </row>
    <row r="161">
      <c r="A161" s="167"/>
      <c r="B161" s="167"/>
      <c r="C161" s="167"/>
      <c r="D161" s="167"/>
      <c r="E161" s="167"/>
      <c r="F161" s="167"/>
      <c r="G161" s="167"/>
      <c r="H161" s="167"/>
      <c r="I161" s="167"/>
    </row>
    <row r="162">
      <c r="A162" s="167"/>
      <c r="B162" s="167"/>
      <c r="C162" s="167"/>
      <c r="D162" s="167"/>
      <c r="E162" s="167"/>
      <c r="F162" s="167"/>
      <c r="G162" s="167"/>
      <c r="H162" s="167"/>
      <c r="I162" s="167"/>
    </row>
    <row r="163">
      <c r="A163" s="167"/>
      <c r="B163" s="167"/>
      <c r="C163" s="167"/>
      <c r="D163" s="167"/>
      <c r="E163" s="167"/>
      <c r="F163" s="167"/>
      <c r="G163" s="167"/>
      <c r="H163" s="167"/>
      <c r="I163" s="167"/>
    </row>
    <row r="164">
      <c r="A164" s="167"/>
      <c r="B164" s="167"/>
      <c r="C164" s="167"/>
      <c r="D164" s="167"/>
      <c r="E164" s="167"/>
      <c r="F164" s="167"/>
      <c r="G164" s="167"/>
      <c r="H164" s="167"/>
      <c r="I164" s="167"/>
    </row>
    <row r="165">
      <c r="A165" s="167"/>
      <c r="B165" s="167"/>
      <c r="C165" s="167"/>
      <c r="D165" s="167"/>
      <c r="E165" s="167"/>
      <c r="F165" s="167"/>
      <c r="G165" s="167"/>
      <c r="H165" s="167"/>
      <c r="I165" s="167"/>
    </row>
    <row r="166">
      <c r="A166" s="167"/>
      <c r="B166" s="167"/>
      <c r="C166" s="167"/>
      <c r="D166" s="167"/>
      <c r="E166" s="167"/>
      <c r="F166" s="167"/>
      <c r="G166" s="167"/>
      <c r="H166" s="167"/>
      <c r="I166" s="167"/>
    </row>
    <row r="167">
      <c r="A167" s="167"/>
      <c r="B167" s="167"/>
      <c r="C167" s="167"/>
      <c r="D167" s="167"/>
      <c r="E167" s="167"/>
      <c r="F167" s="167"/>
      <c r="G167" s="167"/>
      <c r="H167" s="167"/>
      <c r="I167" s="167"/>
    </row>
    <row r="168">
      <c r="A168" s="167"/>
      <c r="B168" s="167"/>
      <c r="C168" s="167"/>
      <c r="D168" s="167"/>
      <c r="E168" s="167"/>
      <c r="F168" s="167"/>
      <c r="G168" s="167"/>
      <c r="H168" s="167"/>
      <c r="I168" s="167"/>
    </row>
    <row r="169">
      <c r="A169" s="167"/>
      <c r="B169" s="167"/>
      <c r="C169" s="167"/>
      <c r="D169" s="167"/>
      <c r="E169" s="167"/>
      <c r="F169" s="167"/>
      <c r="G169" s="167"/>
      <c r="H169" s="167"/>
      <c r="I169" s="167"/>
    </row>
    <row r="170">
      <c r="A170" s="167"/>
      <c r="B170" s="167"/>
      <c r="C170" s="167"/>
      <c r="D170" s="167"/>
      <c r="E170" s="167"/>
      <c r="F170" s="167"/>
      <c r="G170" s="167"/>
      <c r="H170" s="167"/>
      <c r="I170" s="167"/>
    </row>
    <row r="171">
      <c r="A171" s="167"/>
      <c r="B171" s="167"/>
      <c r="C171" s="167"/>
      <c r="D171" s="167"/>
      <c r="E171" s="167"/>
      <c r="F171" s="167"/>
      <c r="G171" s="167"/>
      <c r="H171" s="167"/>
      <c r="I171" s="167"/>
    </row>
    <row r="172">
      <c r="A172" s="167"/>
      <c r="B172" s="167"/>
      <c r="C172" s="167"/>
      <c r="D172" s="167"/>
      <c r="E172" s="167"/>
      <c r="F172" s="167"/>
      <c r="G172" s="167"/>
      <c r="H172" s="167"/>
      <c r="I172" s="167"/>
    </row>
    <row r="173">
      <c r="A173" s="167"/>
      <c r="B173" s="167"/>
      <c r="C173" s="167"/>
      <c r="D173" s="167"/>
      <c r="E173" s="167"/>
      <c r="F173" s="167"/>
      <c r="G173" s="167"/>
      <c r="H173" s="167"/>
      <c r="I173" s="167"/>
    </row>
    <row r="174">
      <c r="A174" s="167"/>
      <c r="B174" s="167"/>
      <c r="C174" s="167"/>
      <c r="D174" s="167"/>
      <c r="E174" s="167"/>
      <c r="F174" s="167"/>
      <c r="G174" s="167"/>
      <c r="H174" s="167"/>
      <c r="I174" s="167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</row>
    <row r="179">
      <c r="A179" s="167"/>
      <c r="B179" s="167"/>
      <c r="C179" s="167"/>
      <c r="D179" s="167"/>
      <c r="E179" s="167"/>
      <c r="F179" s="167"/>
      <c r="G179" s="167"/>
      <c r="H179" s="167"/>
      <c r="I179" s="167"/>
    </row>
    <row r="180">
      <c r="A180" s="167"/>
      <c r="B180" s="167"/>
      <c r="C180" s="167"/>
      <c r="D180" s="167"/>
      <c r="E180" s="167"/>
      <c r="F180" s="167"/>
      <c r="G180" s="167"/>
      <c r="H180" s="167"/>
      <c r="I180" s="167"/>
    </row>
    <row r="181">
      <c r="A181" s="167"/>
      <c r="B181" s="167"/>
      <c r="C181" s="167"/>
      <c r="D181" s="167"/>
      <c r="E181" s="167"/>
      <c r="F181" s="167"/>
      <c r="G181" s="167"/>
      <c r="H181" s="167"/>
      <c r="I181" s="167"/>
    </row>
    <row r="182">
      <c r="A182" s="167"/>
      <c r="B182" s="167"/>
      <c r="C182" s="167"/>
      <c r="D182" s="167"/>
      <c r="E182" s="167"/>
      <c r="F182" s="167"/>
      <c r="G182" s="167"/>
      <c r="H182" s="167"/>
      <c r="I182" s="167"/>
    </row>
    <row r="183">
      <c r="A183" s="167"/>
      <c r="B183" s="167"/>
      <c r="C183" s="167"/>
      <c r="D183" s="167"/>
      <c r="E183" s="167"/>
      <c r="F183" s="167"/>
      <c r="G183" s="167"/>
      <c r="H183" s="167"/>
      <c r="I183" s="167"/>
    </row>
    <row r="184">
      <c r="A184" s="167"/>
      <c r="B184" s="167"/>
      <c r="C184" s="167"/>
      <c r="D184" s="167"/>
      <c r="E184" s="167"/>
      <c r="F184" s="167"/>
      <c r="G184" s="167"/>
      <c r="H184" s="167"/>
      <c r="I184" s="167"/>
    </row>
    <row r="185">
      <c r="A185" s="167"/>
      <c r="B185" s="167"/>
      <c r="C185" s="167"/>
      <c r="D185" s="167"/>
      <c r="E185" s="167"/>
      <c r="F185" s="167"/>
      <c r="G185" s="167"/>
      <c r="H185" s="167"/>
      <c r="I185" s="167"/>
    </row>
    <row r="186">
      <c r="A186" s="167"/>
      <c r="B186" s="167"/>
      <c r="C186" s="167"/>
      <c r="D186" s="167"/>
      <c r="E186" s="167"/>
      <c r="F186" s="167"/>
      <c r="G186" s="167"/>
      <c r="H186" s="167"/>
      <c r="I186" s="167"/>
    </row>
    <row r="187">
      <c r="A187" s="167"/>
      <c r="B187" s="167"/>
      <c r="C187" s="167"/>
      <c r="D187" s="167"/>
      <c r="E187" s="167"/>
      <c r="F187" s="167"/>
      <c r="G187" s="167"/>
      <c r="H187" s="167"/>
      <c r="I187" s="167"/>
    </row>
    <row r="188">
      <c r="A188" s="167"/>
      <c r="B188" s="167"/>
      <c r="C188" s="167"/>
      <c r="D188" s="167"/>
      <c r="E188" s="167"/>
      <c r="F188" s="167"/>
      <c r="G188" s="167"/>
      <c r="H188" s="167"/>
      <c r="I188" s="167"/>
    </row>
    <row r="189">
      <c r="A189" s="167"/>
      <c r="B189" s="167"/>
      <c r="C189" s="167"/>
      <c r="D189" s="167"/>
      <c r="E189" s="167"/>
      <c r="F189" s="167"/>
      <c r="G189" s="167"/>
      <c r="H189" s="167"/>
      <c r="I189" s="167"/>
    </row>
    <row r="190">
      <c r="A190" s="167"/>
      <c r="B190" s="167"/>
      <c r="C190" s="167"/>
      <c r="D190" s="167"/>
      <c r="E190" s="167"/>
      <c r="F190" s="167"/>
      <c r="G190" s="167"/>
      <c r="H190" s="167"/>
      <c r="I190" s="167"/>
    </row>
    <row r="191">
      <c r="A191" s="167"/>
      <c r="B191" s="167"/>
      <c r="C191" s="167"/>
      <c r="D191" s="167"/>
      <c r="E191" s="167"/>
      <c r="F191" s="167"/>
      <c r="G191" s="167"/>
      <c r="H191" s="167"/>
      <c r="I191" s="167"/>
    </row>
    <row r="192">
      <c r="A192" s="167"/>
      <c r="B192" s="167"/>
      <c r="C192" s="167"/>
      <c r="D192" s="167"/>
      <c r="E192" s="167"/>
      <c r="F192" s="167"/>
      <c r="G192" s="167"/>
      <c r="H192" s="167"/>
      <c r="I192" s="167"/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</row>
    <row r="197">
      <c r="A197" s="167"/>
      <c r="B197" s="167"/>
      <c r="C197" s="167"/>
      <c r="D197" s="167"/>
      <c r="E197" s="167"/>
      <c r="F197" s="167"/>
      <c r="G197" s="167"/>
      <c r="H197" s="167"/>
      <c r="I197" s="167"/>
    </row>
    <row r="198">
      <c r="A198" s="167"/>
      <c r="B198" s="167"/>
      <c r="C198" s="167"/>
      <c r="D198" s="167"/>
      <c r="E198" s="167"/>
      <c r="F198" s="167"/>
      <c r="G198" s="167"/>
      <c r="H198" s="167"/>
      <c r="I198" s="167"/>
    </row>
    <row r="199">
      <c r="A199" s="167"/>
      <c r="B199" s="167"/>
      <c r="C199" s="167"/>
      <c r="D199" s="167"/>
      <c r="E199" s="167"/>
      <c r="F199" s="167"/>
      <c r="G199" s="167"/>
      <c r="H199" s="167"/>
      <c r="I199" s="167"/>
    </row>
    <row r="200">
      <c r="A200" s="167"/>
      <c r="B200" s="167"/>
      <c r="C200" s="167"/>
      <c r="D200" s="167"/>
      <c r="E200" s="167"/>
      <c r="F200" s="167"/>
      <c r="G200" s="167"/>
      <c r="H200" s="167"/>
      <c r="I200" s="167"/>
    </row>
    <row r="201">
      <c r="A201" s="167"/>
      <c r="B201" s="167"/>
      <c r="C201" s="167"/>
      <c r="D201" s="167"/>
      <c r="E201" s="167"/>
      <c r="F201" s="167"/>
      <c r="G201" s="167"/>
      <c r="H201" s="167"/>
      <c r="I201" s="167"/>
    </row>
    <row r="202">
      <c r="A202" s="167"/>
      <c r="B202" s="167"/>
      <c r="C202" s="167"/>
      <c r="D202" s="167"/>
      <c r="E202" s="167"/>
      <c r="F202" s="167"/>
      <c r="G202" s="167"/>
      <c r="H202" s="167"/>
      <c r="I202" s="167"/>
    </row>
    <row r="203">
      <c r="A203" s="167"/>
      <c r="B203" s="167"/>
      <c r="C203" s="167"/>
      <c r="D203" s="167"/>
      <c r="E203" s="167"/>
      <c r="F203" s="167"/>
      <c r="G203" s="167"/>
      <c r="H203" s="167"/>
      <c r="I203" s="167"/>
    </row>
    <row r="204">
      <c r="A204" s="167"/>
      <c r="B204" s="167"/>
      <c r="C204" s="167"/>
      <c r="D204" s="167"/>
      <c r="E204" s="167"/>
      <c r="F204" s="167"/>
      <c r="G204" s="167"/>
      <c r="H204" s="167"/>
      <c r="I204" s="167"/>
    </row>
    <row r="205">
      <c r="A205" s="167"/>
      <c r="B205" s="167"/>
      <c r="C205" s="167"/>
      <c r="D205" s="167"/>
      <c r="E205" s="167"/>
      <c r="F205" s="167"/>
      <c r="G205" s="167"/>
      <c r="H205" s="167"/>
      <c r="I205" s="167"/>
    </row>
    <row r="206">
      <c r="A206" s="167"/>
      <c r="B206" s="167"/>
      <c r="C206" s="167"/>
      <c r="D206" s="167"/>
      <c r="E206" s="167"/>
      <c r="F206" s="167"/>
      <c r="G206" s="167"/>
      <c r="H206" s="167"/>
      <c r="I206" s="167"/>
    </row>
    <row r="207">
      <c r="A207" s="167"/>
      <c r="B207" s="167"/>
      <c r="C207" s="167"/>
      <c r="D207" s="167"/>
      <c r="E207" s="167"/>
      <c r="F207" s="167"/>
      <c r="G207" s="167"/>
      <c r="H207" s="167"/>
      <c r="I207" s="167"/>
    </row>
    <row r="208">
      <c r="A208" s="167"/>
      <c r="B208" s="167"/>
      <c r="C208" s="167"/>
      <c r="D208" s="167"/>
      <c r="E208" s="167"/>
      <c r="F208" s="167"/>
      <c r="G208" s="167"/>
      <c r="H208" s="167"/>
      <c r="I208" s="167"/>
    </row>
    <row r="209">
      <c r="A209" s="167"/>
      <c r="B209" s="167"/>
      <c r="C209" s="167"/>
      <c r="D209" s="167"/>
      <c r="E209" s="167"/>
      <c r="F209" s="167"/>
      <c r="G209" s="167"/>
      <c r="H209" s="167"/>
      <c r="I209" s="167"/>
    </row>
    <row r="210">
      <c r="A210" s="167"/>
      <c r="B210" s="167"/>
      <c r="C210" s="167"/>
      <c r="D210" s="167"/>
      <c r="E210" s="167"/>
      <c r="F210" s="167"/>
      <c r="G210" s="167"/>
      <c r="H210" s="167"/>
      <c r="I210" s="167"/>
    </row>
    <row r="211">
      <c r="A211" s="167"/>
      <c r="B211" s="167"/>
      <c r="C211" s="167"/>
      <c r="D211" s="167"/>
      <c r="E211" s="167"/>
      <c r="F211" s="167"/>
      <c r="G211" s="167"/>
      <c r="H211" s="167"/>
      <c r="I211" s="167"/>
    </row>
    <row r="212">
      <c r="A212" s="167"/>
      <c r="B212" s="167"/>
      <c r="C212" s="167"/>
      <c r="D212" s="167"/>
      <c r="E212" s="167"/>
      <c r="F212" s="167"/>
      <c r="G212" s="167"/>
      <c r="H212" s="167"/>
      <c r="I212" s="167"/>
    </row>
    <row r="213">
      <c r="A213" s="167"/>
      <c r="B213" s="167"/>
      <c r="C213" s="167"/>
      <c r="D213" s="167"/>
      <c r="E213" s="167"/>
      <c r="F213" s="167"/>
      <c r="G213" s="167"/>
      <c r="H213" s="167"/>
      <c r="I213" s="167"/>
    </row>
    <row r="214">
      <c r="A214" s="167"/>
      <c r="B214" s="167"/>
      <c r="C214" s="167"/>
      <c r="D214" s="167"/>
      <c r="E214" s="167"/>
      <c r="F214" s="167"/>
      <c r="G214" s="167"/>
      <c r="H214" s="167"/>
      <c r="I214" s="167"/>
    </row>
    <row r="215">
      <c r="A215" s="167"/>
      <c r="B215" s="167"/>
      <c r="C215" s="167"/>
      <c r="D215" s="167"/>
      <c r="E215" s="167"/>
      <c r="F215" s="167"/>
      <c r="G215" s="167"/>
      <c r="H215" s="167"/>
      <c r="I215" s="167"/>
    </row>
    <row r="216">
      <c r="A216" s="167"/>
      <c r="B216" s="167"/>
      <c r="C216" s="167"/>
      <c r="D216" s="167"/>
      <c r="E216" s="167"/>
      <c r="F216" s="167"/>
      <c r="G216" s="167"/>
      <c r="H216" s="167"/>
      <c r="I216" s="167"/>
    </row>
    <row r="217">
      <c r="A217" s="167"/>
      <c r="B217" s="167"/>
      <c r="C217" s="167"/>
      <c r="D217" s="167"/>
      <c r="E217" s="167"/>
      <c r="F217" s="167"/>
      <c r="G217" s="167"/>
      <c r="H217" s="167"/>
      <c r="I217" s="167"/>
    </row>
    <row r="218">
      <c r="A218" s="167"/>
      <c r="B218" s="167"/>
      <c r="C218" s="167"/>
      <c r="D218" s="167"/>
      <c r="E218" s="167"/>
      <c r="F218" s="167"/>
      <c r="G218" s="167"/>
      <c r="H218" s="167"/>
      <c r="I218" s="167"/>
    </row>
    <row r="219">
      <c r="A219" s="167"/>
      <c r="B219" s="167"/>
      <c r="C219" s="167"/>
      <c r="D219" s="167"/>
      <c r="E219" s="167"/>
      <c r="F219" s="167"/>
      <c r="G219" s="167"/>
      <c r="H219" s="167"/>
      <c r="I219" s="167"/>
    </row>
    <row r="220">
      <c r="A220" s="167"/>
      <c r="B220" s="167"/>
      <c r="C220" s="167"/>
      <c r="D220" s="167"/>
      <c r="E220" s="167"/>
      <c r="F220" s="167"/>
      <c r="G220" s="167"/>
      <c r="H220" s="167"/>
      <c r="I220" s="167"/>
    </row>
    <row r="221">
      <c r="A221" s="167"/>
      <c r="B221" s="167"/>
      <c r="C221" s="167"/>
      <c r="D221" s="167"/>
      <c r="E221" s="167"/>
      <c r="F221" s="167"/>
      <c r="G221" s="167"/>
      <c r="H221" s="167"/>
      <c r="I221" s="167"/>
    </row>
    <row r="222">
      <c r="A222" s="167"/>
      <c r="B222" s="167"/>
      <c r="C222" s="167"/>
      <c r="D222" s="167"/>
      <c r="E222" s="167"/>
      <c r="F222" s="167"/>
      <c r="G222" s="167"/>
      <c r="H222" s="167"/>
      <c r="I222" s="167"/>
    </row>
    <row r="223">
      <c r="A223" s="167"/>
      <c r="B223" s="167"/>
      <c r="C223" s="167"/>
      <c r="D223" s="167"/>
      <c r="E223" s="167"/>
      <c r="F223" s="167"/>
      <c r="G223" s="167"/>
      <c r="H223" s="167"/>
      <c r="I223" s="167"/>
    </row>
    <row r="224">
      <c r="A224" s="167"/>
      <c r="B224" s="167"/>
      <c r="C224" s="167"/>
      <c r="D224" s="167"/>
      <c r="E224" s="167"/>
      <c r="F224" s="167"/>
      <c r="G224" s="167"/>
      <c r="H224" s="167"/>
      <c r="I224" s="167"/>
    </row>
    <row r="225">
      <c r="A225" s="167"/>
      <c r="B225" s="167"/>
      <c r="C225" s="167"/>
      <c r="D225" s="167"/>
      <c r="E225" s="167"/>
      <c r="F225" s="167"/>
      <c r="G225" s="167"/>
      <c r="H225" s="167"/>
      <c r="I225" s="167"/>
    </row>
    <row r="226">
      <c r="A226" s="167"/>
      <c r="B226" s="167"/>
      <c r="C226" s="167"/>
      <c r="D226" s="167"/>
      <c r="E226" s="167"/>
      <c r="F226" s="167"/>
      <c r="G226" s="167"/>
      <c r="H226" s="167"/>
      <c r="I226" s="167"/>
    </row>
    <row r="227">
      <c r="A227" s="167"/>
      <c r="B227" s="167"/>
      <c r="C227" s="167"/>
      <c r="D227" s="167"/>
      <c r="E227" s="167"/>
      <c r="F227" s="167"/>
      <c r="G227" s="167"/>
      <c r="H227" s="167"/>
      <c r="I227" s="167"/>
    </row>
    <row r="228">
      <c r="A228" s="167"/>
      <c r="B228" s="167"/>
      <c r="C228" s="167"/>
      <c r="D228" s="167"/>
      <c r="E228" s="167"/>
      <c r="F228" s="167"/>
      <c r="G228" s="167"/>
      <c r="H228" s="167"/>
      <c r="I228" s="167"/>
    </row>
    <row r="229">
      <c r="A229" s="167"/>
      <c r="B229" s="167"/>
      <c r="C229" s="167"/>
      <c r="D229" s="167"/>
      <c r="E229" s="167"/>
      <c r="F229" s="167"/>
      <c r="G229" s="167"/>
      <c r="H229" s="167"/>
      <c r="I229" s="167"/>
    </row>
    <row r="230">
      <c r="A230" s="167"/>
      <c r="B230" s="167"/>
      <c r="C230" s="167"/>
      <c r="D230" s="167"/>
      <c r="E230" s="167"/>
      <c r="F230" s="167"/>
      <c r="G230" s="167"/>
      <c r="H230" s="167"/>
      <c r="I230" s="167"/>
    </row>
    <row r="231">
      <c r="A231" s="167"/>
      <c r="B231" s="167"/>
      <c r="C231" s="167"/>
      <c r="D231" s="167"/>
      <c r="E231" s="167"/>
      <c r="F231" s="167"/>
      <c r="G231" s="167"/>
      <c r="H231" s="167"/>
      <c r="I231" s="167"/>
    </row>
    <row r="232">
      <c r="A232" s="167"/>
      <c r="B232" s="167"/>
      <c r="C232" s="167"/>
      <c r="D232" s="167"/>
      <c r="E232" s="167"/>
      <c r="F232" s="167"/>
      <c r="G232" s="167"/>
      <c r="H232" s="167"/>
      <c r="I232" s="167"/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</row>
    <row r="235">
      <c r="A235" s="167"/>
      <c r="B235" s="167"/>
      <c r="C235" s="167"/>
      <c r="D235" s="167"/>
      <c r="E235" s="167"/>
      <c r="F235" s="167"/>
      <c r="G235" s="167"/>
      <c r="H235" s="167"/>
      <c r="I235" s="167"/>
    </row>
    <row r="236">
      <c r="A236" s="167"/>
      <c r="B236" s="167"/>
      <c r="C236" s="167"/>
      <c r="D236" s="167"/>
      <c r="E236" s="167"/>
      <c r="F236" s="167"/>
      <c r="G236" s="167"/>
      <c r="H236" s="167"/>
      <c r="I236" s="167"/>
    </row>
    <row r="237">
      <c r="A237" s="167"/>
      <c r="B237" s="167"/>
      <c r="C237" s="167"/>
      <c r="D237" s="167"/>
      <c r="E237" s="167"/>
      <c r="F237" s="167"/>
      <c r="G237" s="167"/>
      <c r="H237" s="167"/>
      <c r="I237" s="167"/>
    </row>
    <row r="238">
      <c r="A238" s="167"/>
      <c r="B238" s="167"/>
      <c r="C238" s="167"/>
      <c r="D238" s="167"/>
      <c r="E238" s="167"/>
      <c r="F238" s="167"/>
      <c r="G238" s="167"/>
      <c r="H238" s="167"/>
      <c r="I238" s="167"/>
    </row>
    <row r="239">
      <c r="A239" s="167"/>
      <c r="B239" s="167"/>
      <c r="C239" s="167"/>
      <c r="D239" s="167"/>
      <c r="E239" s="167"/>
      <c r="F239" s="167"/>
      <c r="G239" s="167"/>
      <c r="H239" s="167"/>
      <c r="I239" s="167"/>
    </row>
    <row r="240">
      <c r="A240" s="167"/>
      <c r="B240" s="167"/>
      <c r="C240" s="167"/>
      <c r="D240" s="167"/>
      <c r="E240" s="167"/>
      <c r="F240" s="167"/>
      <c r="G240" s="167"/>
      <c r="H240" s="167"/>
      <c r="I240" s="167"/>
    </row>
    <row r="241">
      <c r="A241" s="167"/>
      <c r="B241" s="167"/>
      <c r="C241" s="167"/>
      <c r="D241" s="167"/>
      <c r="E241" s="167"/>
      <c r="F241" s="167"/>
      <c r="G241" s="167"/>
      <c r="H241" s="167"/>
      <c r="I241" s="167"/>
    </row>
    <row r="242">
      <c r="A242" s="167"/>
      <c r="B242" s="167"/>
      <c r="C242" s="167"/>
      <c r="D242" s="167"/>
      <c r="E242" s="167"/>
      <c r="F242" s="167"/>
      <c r="G242" s="167"/>
      <c r="H242" s="167"/>
      <c r="I242" s="167"/>
    </row>
    <row r="243">
      <c r="A243" s="167"/>
      <c r="B243" s="167"/>
      <c r="C243" s="167"/>
      <c r="D243" s="167"/>
      <c r="E243" s="167"/>
      <c r="F243" s="167"/>
      <c r="G243" s="167"/>
      <c r="H243" s="167"/>
      <c r="I243" s="167"/>
    </row>
    <row r="244">
      <c r="A244" s="167"/>
      <c r="B244" s="167"/>
      <c r="C244" s="167"/>
      <c r="D244" s="167"/>
      <c r="E244" s="167"/>
      <c r="F244" s="167"/>
      <c r="G244" s="167"/>
      <c r="H244" s="167"/>
      <c r="I244" s="167"/>
    </row>
    <row r="245">
      <c r="A245" s="167"/>
      <c r="B245" s="167"/>
      <c r="C245" s="167"/>
      <c r="D245" s="167"/>
      <c r="E245" s="167"/>
      <c r="F245" s="167"/>
      <c r="G245" s="167"/>
      <c r="H245" s="167"/>
      <c r="I245" s="167"/>
    </row>
    <row r="246">
      <c r="A246" s="167"/>
      <c r="B246" s="167"/>
      <c r="C246" s="167"/>
      <c r="D246" s="167"/>
      <c r="E246" s="167"/>
      <c r="F246" s="167"/>
      <c r="G246" s="167"/>
      <c r="H246" s="167"/>
      <c r="I246" s="167"/>
    </row>
    <row r="247">
      <c r="A247" s="167"/>
      <c r="B247" s="167"/>
      <c r="C247" s="167"/>
      <c r="D247" s="167"/>
      <c r="E247" s="167"/>
      <c r="F247" s="167"/>
      <c r="G247" s="167"/>
      <c r="H247" s="167"/>
      <c r="I247" s="167"/>
    </row>
    <row r="248">
      <c r="A248" s="167"/>
      <c r="B248" s="167"/>
      <c r="C248" s="167"/>
      <c r="D248" s="167"/>
      <c r="E248" s="167"/>
      <c r="F248" s="167"/>
      <c r="G248" s="167"/>
      <c r="H248" s="167"/>
      <c r="I248" s="167"/>
    </row>
    <row r="249">
      <c r="A249" s="167"/>
      <c r="B249" s="167"/>
      <c r="C249" s="167"/>
      <c r="D249" s="167"/>
      <c r="E249" s="167"/>
      <c r="F249" s="167"/>
      <c r="G249" s="167"/>
      <c r="H249" s="167"/>
      <c r="I249" s="167"/>
    </row>
    <row r="250">
      <c r="A250" s="167"/>
      <c r="B250" s="167"/>
      <c r="C250" s="167"/>
      <c r="D250" s="167"/>
      <c r="E250" s="167"/>
      <c r="F250" s="167"/>
      <c r="G250" s="167"/>
      <c r="H250" s="167"/>
      <c r="I250" s="167"/>
    </row>
    <row r="251">
      <c r="A251" s="167"/>
      <c r="B251" s="167"/>
      <c r="C251" s="167"/>
      <c r="D251" s="167"/>
      <c r="E251" s="167"/>
      <c r="F251" s="167"/>
      <c r="G251" s="167"/>
      <c r="H251" s="167"/>
      <c r="I251" s="167"/>
    </row>
    <row r="252">
      <c r="A252" s="167"/>
      <c r="B252" s="167"/>
      <c r="C252" s="167"/>
      <c r="D252" s="167"/>
      <c r="E252" s="167"/>
      <c r="F252" s="167"/>
      <c r="G252" s="167"/>
      <c r="H252" s="167"/>
      <c r="I252" s="167"/>
    </row>
    <row r="253">
      <c r="A253" s="167"/>
      <c r="B253" s="167"/>
      <c r="C253" s="167"/>
      <c r="D253" s="167"/>
      <c r="E253" s="167"/>
      <c r="F253" s="167"/>
      <c r="G253" s="167"/>
      <c r="H253" s="167"/>
      <c r="I253" s="167"/>
    </row>
    <row r="254">
      <c r="A254" s="167"/>
      <c r="B254" s="167"/>
      <c r="C254" s="167"/>
      <c r="D254" s="167"/>
      <c r="E254" s="167"/>
      <c r="F254" s="167"/>
      <c r="G254" s="167"/>
      <c r="H254" s="167"/>
      <c r="I254" s="167"/>
    </row>
    <row r="255">
      <c r="A255" s="167"/>
      <c r="B255" s="167"/>
      <c r="C255" s="167"/>
      <c r="D255" s="167"/>
      <c r="E255" s="167"/>
      <c r="F255" s="167"/>
      <c r="G255" s="167"/>
      <c r="H255" s="167"/>
      <c r="I255" s="167"/>
    </row>
    <row r="256">
      <c r="A256" s="167"/>
      <c r="B256" s="167"/>
      <c r="C256" s="167"/>
      <c r="D256" s="167"/>
      <c r="E256" s="167"/>
      <c r="F256" s="167"/>
      <c r="G256" s="167"/>
      <c r="H256" s="167"/>
      <c r="I256" s="167"/>
    </row>
    <row r="257">
      <c r="A257" s="167"/>
      <c r="B257" s="167"/>
      <c r="C257" s="167"/>
      <c r="D257" s="167"/>
      <c r="E257" s="167"/>
      <c r="F257" s="167"/>
      <c r="G257" s="167"/>
      <c r="H257" s="167"/>
      <c r="I257" s="167"/>
    </row>
    <row r="258">
      <c r="A258" s="167"/>
      <c r="B258" s="167"/>
      <c r="C258" s="167"/>
      <c r="D258" s="167"/>
      <c r="E258" s="167"/>
      <c r="F258" s="167"/>
      <c r="G258" s="167"/>
      <c r="H258" s="167"/>
      <c r="I258" s="167"/>
    </row>
    <row r="259">
      <c r="A259" s="167"/>
      <c r="B259" s="167"/>
      <c r="C259" s="167"/>
      <c r="D259" s="167"/>
      <c r="E259" s="167"/>
      <c r="F259" s="167"/>
      <c r="G259" s="167"/>
      <c r="H259" s="167"/>
      <c r="I259" s="167"/>
    </row>
    <row r="260">
      <c r="A260" s="167"/>
      <c r="B260" s="167"/>
      <c r="C260" s="167"/>
      <c r="D260" s="167"/>
      <c r="E260" s="167"/>
      <c r="F260" s="167"/>
      <c r="G260" s="167"/>
      <c r="H260" s="167"/>
      <c r="I260" s="167"/>
    </row>
    <row r="261">
      <c r="A261" s="167"/>
      <c r="B261" s="167"/>
      <c r="C261" s="167"/>
      <c r="D261" s="167"/>
      <c r="E261" s="167"/>
      <c r="F261" s="167"/>
      <c r="G261" s="167"/>
      <c r="H261" s="167"/>
      <c r="I261" s="167"/>
    </row>
    <row r="262">
      <c r="A262" s="167"/>
      <c r="B262" s="167"/>
      <c r="C262" s="167"/>
      <c r="D262" s="167"/>
      <c r="E262" s="167"/>
      <c r="F262" s="167"/>
      <c r="G262" s="167"/>
      <c r="H262" s="167"/>
      <c r="I262" s="167"/>
    </row>
    <row r="263">
      <c r="A263" s="167"/>
      <c r="B263" s="167"/>
      <c r="C263" s="167"/>
      <c r="D263" s="167"/>
      <c r="E263" s="167"/>
      <c r="F263" s="167"/>
      <c r="G263" s="167"/>
      <c r="H263" s="167"/>
      <c r="I263" s="167"/>
    </row>
    <row r="264">
      <c r="A264" s="167"/>
      <c r="B264" s="167"/>
      <c r="C264" s="167"/>
      <c r="D264" s="167"/>
      <c r="E264" s="167"/>
      <c r="F264" s="167"/>
      <c r="G264" s="167"/>
      <c r="H264" s="167"/>
      <c r="I264" s="167"/>
    </row>
    <row r="265">
      <c r="A265" s="167"/>
      <c r="B265" s="167"/>
      <c r="C265" s="167"/>
      <c r="D265" s="167"/>
      <c r="E265" s="167"/>
      <c r="F265" s="167"/>
      <c r="G265" s="167"/>
      <c r="H265" s="167"/>
      <c r="I265" s="167"/>
    </row>
    <row r="266">
      <c r="A266" s="167"/>
      <c r="B266" s="167"/>
      <c r="C266" s="167"/>
      <c r="D266" s="167"/>
      <c r="E266" s="167"/>
      <c r="F266" s="167"/>
      <c r="G266" s="167"/>
      <c r="H266" s="167"/>
      <c r="I266" s="167"/>
    </row>
    <row r="267">
      <c r="A267" s="167"/>
      <c r="B267" s="167"/>
      <c r="C267" s="167"/>
      <c r="D267" s="167"/>
      <c r="E267" s="167"/>
      <c r="F267" s="167"/>
      <c r="G267" s="167"/>
      <c r="H267" s="167"/>
      <c r="I267" s="167"/>
    </row>
    <row r="268">
      <c r="A268" s="167"/>
      <c r="B268" s="167"/>
      <c r="C268" s="167"/>
      <c r="D268" s="167"/>
      <c r="E268" s="167"/>
      <c r="F268" s="167"/>
      <c r="G268" s="167"/>
      <c r="H268" s="167"/>
      <c r="I268" s="167"/>
    </row>
    <row r="269">
      <c r="A269" s="167"/>
      <c r="B269" s="167"/>
      <c r="C269" s="167"/>
      <c r="D269" s="167"/>
      <c r="E269" s="167"/>
      <c r="F269" s="167"/>
      <c r="G269" s="167"/>
      <c r="H269" s="167"/>
      <c r="I269" s="167"/>
    </row>
    <row r="270">
      <c r="A270" s="167"/>
      <c r="B270" s="167"/>
      <c r="C270" s="167"/>
      <c r="D270" s="167"/>
      <c r="E270" s="167"/>
      <c r="F270" s="167"/>
      <c r="G270" s="167"/>
      <c r="H270" s="167"/>
      <c r="I270" s="167"/>
    </row>
    <row r="271">
      <c r="A271" s="167"/>
      <c r="B271" s="167"/>
      <c r="C271" s="167"/>
      <c r="D271" s="167"/>
      <c r="E271" s="167"/>
      <c r="F271" s="167"/>
      <c r="G271" s="167"/>
      <c r="H271" s="167"/>
      <c r="I271" s="167"/>
    </row>
    <row r="272">
      <c r="A272" s="167"/>
      <c r="B272" s="167"/>
      <c r="C272" s="167"/>
      <c r="D272" s="167"/>
      <c r="E272" s="167"/>
      <c r="F272" s="167"/>
      <c r="G272" s="167"/>
      <c r="H272" s="167"/>
      <c r="I272" s="167"/>
    </row>
    <row r="273">
      <c r="A273" s="167"/>
      <c r="B273" s="167"/>
      <c r="C273" s="167"/>
      <c r="D273" s="167"/>
      <c r="E273" s="167"/>
      <c r="F273" s="167"/>
      <c r="G273" s="167"/>
      <c r="H273" s="167"/>
      <c r="I273" s="167"/>
    </row>
    <row r="274">
      <c r="A274" s="167"/>
      <c r="B274" s="167"/>
      <c r="C274" s="167"/>
      <c r="D274" s="167"/>
      <c r="E274" s="167"/>
      <c r="F274" s="167"/>
      <c r="G274" s="167"/>
      <c r="H274" s="167"/>
      <c r="I274" s="167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</row>
    <row r="276">
      <c r="A276" s="167"/>
      <c r="B276" s="167"/>
      <c r="C276" s="167"/>
      <c r="D276" s="167"/>
      <c r="E276" s="167"/>
      <c r="F276" s="167"/>
      <c r="G276" s="167"/>
      <c r="H276" s="167"/>
      <c r="I276" s="167"/>
    </row>
    <row r="277">
      <c r="A277" s="167"/>
      <c r="B277" s="167"/>
      <c r="C277" s="167"/>
      <c r="D277" s="167"/>
      <c r="E277" s="167"/>
      <c r="F277" s="167"/>
      <c r="G277" s="167"/>
      <c r="H277" s="167"/>
      <c r="I277" s="167"/>
    </row>
    <row r="278">
      <c r="A278" s="167"/>
      <c r="B278" s="167"/>
      <c r="C278" s="167"/>
      <c r="D278" s="167"/>
      <c r="E278" s="167"/>
      <c r="F278" s="167"/>
      <c r="G278" s="167"/>
      <c r="H278" s="167"/>
      <c r="I278" s="167"/>
    </row>
    <row r="279">
      <c r="A279" s="167"/>
      <c r="B279" s="167"/>
      <c r="C279" s="167"/>
      <c r="D279" s="167"/>
      <c r="E279" s="167"/>
      <c r="F279" s="167"/>
      <c r="G279" s="167"/>
      <c r="H279" s="167"/>
      <c r="I279" s="167"/>
    </row>
    <row r="280">
      <c r="A280" s="167"/>
      <c r="B280" s="167"/>
      <c r="C280" s="167"/>
      <c r="D280" s="167"/>
      <c r="E280" s="167"/>
      <c r="F280" s="167"/>
      <c r="G280" s="167"/>
      <c r="H280" s="167"/>
      <c r="I280" s="167"/>
    </row>
    <row r="281">
      <c r="A281" s="167"/>
      <c r="B281" s="167"/>
      <c r="C281" s="167"/>
      <c r="D281" s="167"/>
      <c r="E281" s="167"/>
      <c r="F281" s="167"/>
      <c r="G281" s="167"/>
      <c r="H281" s="167"/>
      <c r="I281" s="167"/>
    </row>
    <row r="282">
      <c r="A282" s="167"/>
      <c r="B282" s="167"/>
      <c r="C282" s="167"/>
      <c r="D282" s="167"/>
      <c r="E282" s="167"/>
      <c r="F282" s="167"/>
      <c r="G282" s="167"/>
      <c r="H282" s="167"/>
      <c r="I282" s="167"/>
    </row>
    <row r="283">
      <c r="A283" s="167"/>
      <c r="B283" s="167"/>
      <c r="C283" s="167"/>
      <c r="D283" s="167"/>
      <c r="E283" s="167"/>
      <c r="F283" s="167"/>
      <c r="G283" s="167"/>
      <c r="H283" s="167"/>
      <c r="I283" s="167"/>
    </row>
    <row r="284">
      <c r="A284" s="167"/>
      <c r="B284" s="167"/>
      <c r="C284" s="167"/>
      <c r="D284" s="167"/>
      <c r="E284" s="167"/>
      <c r="F284" s="167"/>
      <c r="G284" s="167"/>
      <c r="H284" s="167"/>
      <c r="I284" s="167"/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</row>
    <row r="286">
      <c r="A286" s="167"/>
      <c r="B286" s="167"/>
      <c r="C286" s="167"/>
      <c r="D286" s="167"/>
      <c r="E286" s="167"/>
      <c r="F286" s="167"/>
      <c r="G286" s="167"/>
      <c r="H286" s="167"/>
      <c r="I286" s="167"/>
    </row>
    <row r="287">
      <c r="A287" s="167"/>
      <c r="B287" s="167"/>
      <c r="C287" s="167"/>
      <c r="D287" s="167"/>
      <c r="E287" s="167"/>
      <c r="F287" s="167"/>
      <c r="G287" s="167"/>
      <c r="H287" s="167"/>
      <c r="I287" s="167"/>
    </row>
    <row r="288">
      <c r="A288" s="167"/>
      <c r="B288" s="167"/>
      <c r="C288" s="167"/>
      <c r="D288" s="167"/>
      <c r="E288" s="167"/>
      <c r="F288" s="167"/>
      <c r="G288" s="167"/>
      <c r="H288" s="167"/>
      <c r="I288" s="167"/>
    </row>
    <row r="289">
      <c r="A289" s="167"/>
      <c r="B289" s="167"/>
      <c r="C289" s="167"/>
      <c r="D289" s="167"/>
      <c r="E289" s="167"/>
      <c r="F289" s="167"/>
      <c r="G289" s="167"/>
      <c r="H289" s="167"/>
      <c r="I289" s="167"/>
    </row>
    <row r="290">
      <c r="A290" s="167"/>
      <c r="B290" s="167"/>
      <c r="C290" s="167"/>
      <c r="D290" s="167"/>
      <c r="E290" s="167"/>
      <c r="F290" s="167"/>
      <c r="G290" s="167"/>
      <c r="H290" s="167"/>
      <c r="I290" s="167"/>
    </row>
    <row r="291">
      <c r="A291" s="167"/>
      <c r="B291" s="167"/>
      <c r="C291" s="167"/>
      <c r="D291" s="167"/>
      <c r="E291" s="167"/>
      <c r="F291" s="167"/>
      <c r="G291" s="167"/>
      <c r="H291" s="167"/>
      <c r="I291" s="167"/>
    </row>
    <row r="292">
      <c r="A292" s="167"/>
      <c r="B292" s="167"/>
      <c r="C292" s="167"/>
      <c r="D292" s="167"/>
      <c r="E292" s="167"/>
      <c r="F292" s="167"/>
      <c r="G292" s="167"/>
      <c r="H292" s="167"/>
      <c r="I292" s="167"/>
    </row>
    <row r="293">
      <c r="A293" s="167"/>
      <c r="B293" s="167"/>
      <c r="C293" s="167"/>
      <c r="D293" s="167"/>
      <c r="E293" s="167"/>
      <c r="F293" s="167"/>
      <c r="G293" s="167"/>
      <c r="H293" s="167"/>
      <c r="I293" s="167"/>
    </row>
    <row r="294">
      <c r="A294" s="167"/>
      <c r="B294" s="167"/>
      <c r="C294" s="167"/>
      <c r="D294" s="167"/>
      <c r="E294" s="167"/>
      <c r="F294" s="167"/>
      <c r="G294" s="167"/>
      <c r="H294" s="167"/>
      <c r="I294" s="167"/>
    </row>
    <row r="295">
      <c r="A295" s="167"/>
      <c r="B295" s="167"/>
      <c r="C295" s="167"/>
      <c r="D295" s="167"/>
      <c r="E295" s="167"/>
      <c r="F295" s="167"/>
      <c r="G295" s="167"/>
      <c r="H295" s="167"/>
      <c r="I295" s="167"/>
    </row>
    <row r="296">
      <c r="A296" s="167"/>
      <c r="B296" s="167"/>
      <c r="C296" s="167"/>
      <c r="D296" s="167"/>
      <c r="E296" s="167"/>
      <c r="F296" s="167"/>
      <c r="G296" s="167"/>
      <c r="H296" s="167"/>
      <c r="I296" s="167"/>
    </row>
    <row r="297">
      <c r="A297" s="167"/>
      <c r="B297" s="167"/>
      <c r="C297" s="167"/>
      <c r="D297" s="167"/>
      <c r="E297" s="167"/>
      <c r="F297" s="167"/>
      <c r="G297" s="167"/>
      <c r="H297" s="167"/>
      <c r="I297" s="167"/>
    </row>
    <row r="298">
      <c r="A298" s="167"/>
      <c r="B298" s="167"/>
      <c r="C298" s="167"/>
      <c r="D298" s="167"/>
      <c r="E298" s="167"/>
      <c r="F298" s="167"/>
      <c r="G298" s="167"/>
      <c r="H298" s="167"/>
      <c r="I298" s="167"/>
    </row>
    <row r="299">
      <c r="A299" s="167"/>
      <c r="B299" s="167"/>
      <c r="C299" s="167"/>
      <c r="D299" s="167"/>
      <c r="E299" s="167"/>
      <c r="F299" s="167"/>
      <c r="G299" s="167"/>
      <c r="H299" s="167"/>
      <c r="I299" s="167"/>
    </row>
    <row r="300">
      <c r="A300" s="167"/>
      <c r="B300" s="167"/>
      <c r="C300" s="167"/>
      <c r="D300" s="167"/>
      <c r="E300" s="167"/>
      <c r="F300" s="167"/>
      <c r="G300" s="167"/>
      <c r="H300" s="167"/>
      <c r="I300" s="167"/>
    </row>
    <row r="301">
      <c r="A301" s="167"/>
      <c r="B301" s="167"/>
      <c r="C301" s="167"/>
      <c r="D301" s="167"/>
      <c r="E301" s="167"/>
      <c r="F301" s="167"/>
      <c r="G301" s="167"/>
      <c r="H301" s="167"/>
      <c r="I301" s="167"/>
    </row>
    <row r="302">
      <c r="A302" s="167"/>
      <c r="B302" s="167"/>
      <c r="C302" s="167"/>
      <c r="D302" s="167"/>
      <c r="E302" s="167"/>
      <c r="F302" s="167"/>
      <c r="G302" s="167"/>
      <c r="H302" s="167"/>
      <c r="I302" s="167"/>
    </row>
    <row r="303">
      <c r="A303" s="167"/>
      <c r="B303" s="167"/>
      <c r="C303" s="167"/>
      <c r="D303" s="167"/>
      <c r="E303" s="167"/>
      <c r="F303" s="167"/>
      <c r="G303" s="167"/>
      <c r="H303" s="167"/>
      <c r="I303" s="167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</row>
    <row r="307">
      <c r="A307" s="167"/>
      <c r="B307" s="167"/>
      <c r="C307" s="167"/>
      <c r="D307" s="167"/>
      <c r="E307" s="167"/>
      <c r="F307" s="167"/>
      <c r="G307" s="167"/>
      <c r="H307" s="167"/>
      <c r="I307" s="167"/>
    </row>
    <row r="308">
      <c r="A308" s="167"/>
      <c r="B308" s="167"/>
      <c r="C308" s="167"/>
      <c r="D308" s="167"/>
      <c r="E308" s="167"/>
      <c r="F308" s="167"/>
      <c r="G308" s="167"/>
      <c r="H308" s="167"/>
      <c r="I308" s="167"/>
    </row>
    <row r="309">
      <c r="A309" s="167"/>
      <c r="B309" s="167"/>
      <c r="C309" s="167"/>
      <c r="D309" s="167"/>
      <c r="E309" s="167"/>
      <c r="F309" s="167"/>
      <c r="G309" s="167"/>
      <c r="H309" s="167"/>
      <c r="I309" s="167"/>
    </row>
    <row r="310">
      <c r="A310" s="167"/>
      <c r="B310" s="167"/>
      <c r="C310" s="167"/>
      <c r="D310" s="167"/>
      <c r="E310" s="167"/>
      <c r="F310" s="167"/>
      <c r="G310" s="167"/>
      <c r="H310" s="167"/>
      <c r="I310" s="167"/>
    </row>
    <row r="311">
      <c r="A311" s="167"/>
      <c r="B311" s="167"/>
      <c r="C311" s="167"/>
      <c r="D311" s="167"/>
      <c r="E311" s="167"/>
      <c r="F311" s="167"/>
      <c r="G311" s="167"/>
      <c r="H311" s="167"/>
      <c r="I311" s="167"/>
    </row>
    <row r="312">
      <c r="A312" s="167"/>
      <c r="B312" s="167"/>
      <c r="C312" s="167"/>
      <c r="D312" s="167"/>
      <c r="E312" s="167"/>
      <c r="F312" s="167"/>
      <c r="G312" s="167"/>
      <c r="H312" s="167"/>
      <c r="I312" s="167"/>
    </row>
    <row r="313">
      <c r="A313" s="167"/>
      <c r="B313" s="167"/>
      <c r="C313" s="167"/>
      <c r="D313" s="167"/>
      <c r="E313" s="167"/>
      <c r="F313" s="167"/>
      <c r="G313" s="167"/>
      <c r="H313" s="167"/>
      <c r="I313" s="167"/>
    </row>
    <row r="314">
      <c r="A314" s="167"/>
      <c r="B314" s="167"/>
      <c r="C314" s="167"/>
      <c r="D314" s="167"/>
      <c r="E314" s="167"/>
      <c r="F314" s="167"/>
      <c r="G314" s="167"/>
      <c r="H314" s="167"/>
      <c r="I314" s="167"/>
    </row>
    <row r="315">
      <c r="A315" s="167"/>
      <c r="B315" s="167"/>
      <c r="C315" s="167"/>
      <c r="D315" s="167"/>
      <c r="E315" s="167"/>
      <c r="F315" s="167"/>
      <c r="G315" s="167"/>
      <c r="H315" s="167"/>
      <c r="I315" s="167"/>
    </row>
    <row r="316">
      <c r="A316" s="167"/>
      <c r="B316" s="167"/>
      <c r="C316" s="167"/>
      <c r="D316" s="167"/>
      <c r="E316" s="167"/>
      <c r="F316" s="167"/>
      <c r="G316" s="167"/>
      <c r="H316" s="167"/>
      <c r="I316" s="167"/>
    </row>
    <row r="317">
      <c r="A317" s="167"/>
      <c r="B317" s="167"/>
      <c r="C317" s="167"/>
      <c r="D317" s="167"/>
      <c r="E317" s="167"/>
      <c r="F317" s="167"/>
      <c r="G317" s="167"/>
      <c r="H317" s="167"/>
      <c r="I317" s="167"/>
    </row>
    <row r="318">
      <c r="A318" s="167"/>
      <c r="B318" s="167"/>
      <c r="C318" s="167"/>
      <c r="D318" s="167"/>
      <c r="E318" s="167"/>
      <c r="F318" s="167"/>
      <c r="G318" s="167"/>
      <c r="H318" s="167"/>
      <c r="I318" s="167"/>
    </row>
    <row r="319">
      <c r="A319" s="167"/>
      <c r="B319" s="167"/>
      <c r="C319" s="167"/>
      <c r="D319" s="167"/>
      <c r="E319" s="167"/>
      <c r="F319" s="167"/>
      <c r="G319" s="167"/>
      <c r="H319" s="167"/>
      <c r="I319" s="167"/>
    </row>
    <row r="320">
      <c r="A320" s="167"/>
      <c r="B320" s="167"/>
      <c r="C320" s="167"/>
      <c r="D320" s="167"/>
      <c r="E320" s="167"/>
      <c r="F320" s="167"/>
      <c r="G320" s="167"/>
      <c r="H320" s="167"/>
      <c r="I320" s="167"/>
    </row>
    <row r="321">
      <c r="A321" s="167"/>
      <c r="B321" s="167"/>
      <c r="C321" s="167"/>
      <c r="D321" s="167"/>
      <c r="E321" s="167"/>
      <c r="F321" s="167"/>
      <c r="G321" s="167"/>
      <c r="H321" s="167"/>
      <c r="I321" s="167"/>
    </row>
    <row r="322">
      <c r="A322" s="167"/>
      <c r="B322" s="167"/>
      <c r="C322" s="167"/>
      <c r="D322" s="167"/>
      <c r="E322" s="167"/>
      <c r="F322" s="167"/>
      <c r="G322" s="167"/>
      <c r="H322" s="167"/>
      <c r="I322" s="167"/>
    </row>
    <row r="323">
      <c r="A323" s="167"/>
      <c r="B323" s="167"/>
      <c r="C323" s="167"/>
      <c r="D323" s="167"/>
      <c r="E323" s="167"/>
      <c r="F323" s="167"/>
      <c r="G323" s="167"/>
      <c r="H323" s="167"/>
      <c r="I323" s="167"/>
    </row>
    <row r="324">
      <c r="A324" s="167"/>
      <c r="B324" s="167"/>
      <c r="C324" s="167"/>
      <c r="D324" s="167"/>
      <c r="E324" s="167"/>
      <c r="F324" s="167"/>
      <c r="G324" s="167"/>
      <c r="H324" s="167"/>
      <c r="I324" s="167"/>
    </row>
    <row r="325">
      <c r="A325" s="167"/>
      <c r="B325" s="167"/>
      <c r="C325" s="167"/>
      <c r="D325" s="167"/>
      <c r="E325" s="167"/>
      <c r="F325" s="167"/>
      <c r="G325" s="167"/>
      <c r="H325" s="167"/>
      <c r="I325" s="167"/>
    </row>
    <row r="326">
      <c r="A326" s="167"/>
      <c r="B326" s="167"/>
      <c r="C326" s="167"/>
      <c r="D326" s="167"/>
      <c r="E326" s="167"/>
      <c r="F326" s="167"/>
      <c r="G326" s="167"/>
      <c r="H326" s="167"/>
      <c r="I326" s="167"/>
    </row>
    <row r="327">
      <c r="A327" s="167"/>
      <c r="B327" s="167"/>
      <c r="C327" s="167"/>
      <c r="D327" s="167"/>
      <c r="E327" s="167"/>
      <c r="F327" s="167"/>
      <c r="G327" s="167"/>
      <c r="H327" s="167"/>
      <c r="I327" s="167"/>
    </row>
    <row r="328">
      <c r="A328" s="167"/>
      <c r="B328" s="167"/>
      <c r="C328" s="167"/>
      <c r="D328" s="167"/>
      <c r="E328" s="167"/>
      <c r="F328" s="167"/>
      <c r="G328" s="167"/>
      <c r="H328" s="167"/>
      <c r="I328" s="16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</row>
    <row r="344">
      <c r="A344" s="167"/>
      <c r="B344" s="167"/>
      <c r="C344" s="167"/>
      <c r="D344" s="167"/>
      <c r="E344" s="167"/>
      <c r="F344" s="167"/>
      <c r="G344" s="167"/>
      <c r="H344" s="167"/>
      <c r="I344" s="167"/>
    </row>
    <row r="345">
      <c r="A345" s="167"/>
      <c r="B345" s="167"/>
      <c r="C345" s="167"/>
      <c r="D345" s="167"/>
      <c r="E345" s="167"/>
      <c r="F345" s="167"/>
      <c r="G345" s="167"/>
      <c r="H345" s="167"/>
      <c r="I345" s="167"/>
    </row>
    <row r="346">
      <c r="A346" s="167"/>
      <c r="B346" s="167"/>
      <c r="C346" s="167"/>
      <c r="D346" s="167"/>
      <c r="E346" s="167"/>
      <c r="F346" s="167"/>
      <c r="G346" s="167"/>
      <c r="H346" s="167"/>
      <c r="I346" s="167"/>
    </row>
    <row r="347">
      <c r="A347" s="167"/>
      <c r="B347" s="167"/>
      <c r="C347" s="167"/>
      <c r="D347" s="167"/>
      <c r="E347" s="167"/>
      <c r="F347" s="167"/>
      <c r="G347" s="167"/>
      <c r="H347" s="167"/>
      <c r="I347" s="167"/>
    </row>
    <row r="348">
      <c r="A348" s="167"/>
      <c r="B348" s="167"/>
      <c r="C348" s="167"/>
      <c r="D348" s="167"/>
      <c r="E348" s="167"/>
      <c r="F348" s="167"/>
      <c r="G348" s="167"/>
      <c r="H348" s="167"/>
      <c r="I348" s="167"/>
    </row>
    <row r="349">
      <c r="A349" s="167"/>
      <c r="B349" s="167"/>
      <c r="C349" s="167"/>
      <c r="D349" s="167"/>
      <c r="E349" s="167"/>
      <c r="F349" s="167"/>
      <c r="G349" s="167"/>
      <c r="H349" s="167"/>
      <c r="I349" s="167"/>
    </row>
    <row r="350">
      <c r="A350" s="167"/>
      <c r="B350" s="167"/>
      <c r="C350" s="167"/>
      <c r="D350" s="167"/>
      <c r="E350" s="167"/>
      <c r="F350" s="167"/>
      <c r="G350" s="167"/>
      <c r="H350" s="167"/>
      <c r="I350" s="167"/>
    </row>
    <row r="351">
      <c r="A351" s="167"/>
      <c r="B351" s="167"/>
      <c r="C351" s="167"/>
      <c r="D351" s="167"/>
      <c r="E351" s="167"/>
      <c r="F351" s="167"/>
      <c r="G351" s="167"/>
      <c r="H351" s="167"/>
      <c r="I351" s="167"/>
    </row>
    <row r="352">
      <c r="A352" s="167"/>
      <c r="B352" s="167"/>
      <c r="C352" s="167"/>
      <c r="D352" s="167"/>
      <c r="E352" s="167"/>
      <c r="F352" s="167"/>
      <c r="G352" s="167"/>
      <c r="H352" s="167"/>
      <c r="I352" s="167"/>
    </row>
    <row r="353">
      <c r="A353" s="167"/>
      <c r="B353" s="167"/>
      <c r="C353" s="167"/>
      <c r="D353" s="167"/>
      <c r="E353" s="167"/>
      <c r="F353" s="167"/>
      <c r="G353" s="167"/>
      <c r="H353" s="167"/>
      <c r="I353" s="167"/>
    </row>
    <row r="354">
      <c r="A354" s="167"/>
      <c r="B354" s="167"/>
      <c r="C354" s="167"/>
      <c r="D354" s="167"/>
      <c r="E354" s="167"/>
      <c r="F354" s="167"/>
      <c r="G354" s="167"/>
      <c r="H354" s="167"/>
      <c r="I354" s="167"/>
    </row>
    <row r="355">
      <c r="A355" s="167"/>
      <c r="B355" s="167"/>
      <c r="C355" s="167"/>
      <c r="D355" s="167"/>
      <c r="E355" s="167"/>
      <c r="F355" s="167"/>
      <c r="G355" s="167"/>
      <c r="H355" s="167"/>
      <c r="I355" s="167"/>
    </row>
    <row r="356">
      <c r="A356" s="167"/>
      <c r="B356" s="167"/>
      <c r="C356" s="167"/>
      <c r="D356" s="167"/>
      <c r="E356" s="167"/>
      <c r="F356" s="167"/>
      <c r="G356" s="167"/>
      <c r="H356" s="167"/>
      <c r="I356" s="167"/>
    </row>
    <row r="357">
      <c r="A357" s="167"/>
      <c r="B357" s="167"/>
      <c r="C357" s="167"/>
      <c r="D357" s="167"/>
      <c r="E357" s="167"/>
      <c r="F357" s="167"/>
      <c r="G357" s="167"/>
      <c r="H357" s="167"/>
      <c r="I357" s="167"/>
    </row>
    <row r="358">
      <c r="A358" s="167"/>
      <c r="B358" s="167"/>
      <c r="C358" s="167"/>
      <c r="D358" s="167"/>
      <c r="E358" s="167"/>
      <c r="F358" s="167"/>
      <c r="G358" s="167"/>
      <c r="H358" s="167"/>
      <c r="I358" s="167"/>
    </row>
    <row r="359">
      <c r="A359" s="167"/>
      <c r="B359" s="167"/>
      <c r="C359" s="167"/>
      <c r="D359" s="167"/>
      <c r="E359" s="167"/>
      <c r="F359" s="167"/>
      <c r="G359" s="167"/>
      <c r="H359" s="167"/>
      <c r="I359" s="167"/>
    </row>
    <row r="360">
      <c r="A360" s="167"/>
      <c r="B360" s="167"/>
      <c r="C360" s="167"/>
      <c r="D360" s="167"/>
      <c r="E360" s="167"/>
      <c r="F360" s="167"/>
      <c r="G360" s="167"/>
      <c r="H360" s="167"/>
      <c r="I360" s="167"/>
    </row>
    <row r="361">
      <c r="A361" s="167"/>
      <c r="B361" s="167"/>
      <c r="C361" s="167"/>
      <c r="D361" s="167"/>
      <c r="E361" s="167"/>
      <c r="F361" s="167"/>
      <c r="G361" s="167"/>
      <c r="H361" s="167"/>
      <c r="I361" s="167"/>
    </row>
    <row r="362">
      <c r="A362" s="167"/>
      <c r="B362" s="167"/>
      <c r="C362" s="167"/>
      <c r="D362" s="167"/>
      <c r="E362" s="167"/>
      <c r="F362" s="167"/>
      <c r="G362" s="167"/>
      <c r="H362" s="167"/>
      <c r="I362" s="167"/>
    </row>
    <row r="363">
      <c r="A363" s="167"/>
      <c r="B363" s="167"/>
      <c r="C363" s="167"/>
      <c r="D363" s="167"/>
      <c r="E363" s="167"/>
      <c r="F363" s="167"/>
      <c r="G363" s="167"/>
      <c r="H363" s="167"/>
      <c r="I363" s="167"/>
    </row>
    <row r="364">
      <c r="A364" s="167"/>
      <c r="B364" s="167"/>
      <c r="C364" s="167"/>
      <c r="D364" s="167"/>
      <c r="E364" s="167"/>
      <c r="F364" s="167"/>
      <c r="G364" s="167"/>
      <c r="H364" s="167"/>
      <c r="I364" s="167"/>
    </row>
    <row r="365">
      <c r="A365" s="167"/>
      <c r="B365" s="167"/>
      <c r="C365" s="167"/>
      <c r="D365" s="167"/>
      <c r="E365" s="167"/>
      <c r="F365" s="167"/>
      <c r="G365" s="167"/>
      <c r="H365" s="167"/>
      <c r="I365" s="167"/>
    </row>
    <row r="366">
      <c r="A366" s="167"/>
      <c r="B366" s="167"/>
      <c r="C366" s="167"/>
      <c r="D366" s="167"/>
      <c r="E366" s="167"/>
      <c r="F366" s="167"/>
      <c r="G366" s="167"/>
      <c r="H366" s="167"/>
      <c r="I366" s="167"/>
    </row>
    <row r="367">
      <c r="A367" s="167"/>
      <c r="B367" s="167"/>
      <c r="C367" s="167"/>
      <c r="D367" s="167"/>
      <c r="E367" s="167"/>
      <c r="F367" s="167"/>
      <c r="G367" s="167"/>
      <c r="H367" s="167"/>
      <c r="I367" s="167"/>
    </row>
    <row r="368">
      <c r="A368" s="167"/>
      <c r="B368" s="167"/>
      <c r="C368" s="167"/>
      <c r="D368" s="167"/>
      <c r="E368" s="167"/>
      <c r="F368" s="167"/>
      <c r="G368" s="167"/>
      <c r="H368" s="167"/>
      <c r="I368" s="167"/>
    </row>
    <row r="369">
      <c r="A369" s="167"/>
      <c r="B369" s="167"/>
      <c r="C369" s="167"/>
      <c r="D369" s="167"/>
      <c r="E369" s="167"/>
      <c r="F369" s="167"/>
      <c r="G369" s="167"/>
      <c r="H369" s="167"/>
      <c r="I369" s="167"/>
    </row>
    <row r="370">
      <c r="A370" s="167"/>
      <c r="B370" s="167"/>
      <c r="C370" s="167"/>
      <c r="D370" s="167"/>
      <c r="E370" s="167"/>
      <c r="F370" s="167"/>
      <c r="G370" s="167"/>
      <c r="H370" s="167"/>
      <c r="I370" s="167"/>
    </row>
    <row r="371">
      <c r="A371" s="167"/>
      <c r="B371" s="167"/>
      <c r="C371" s="167"/>
      <c r="D371" s="167"/>
      <c r="E371" s="167"/>
      <c r="F371" s="167"/>
      <c r="G371" s="167"/>
      <c r="H371" s="167"/>
      <c r="I371" s="167"/>
    </row>
    <row r="372">
      <c r="A372" s="167"/>
      <c r="B372" s="167"/>
      <c r="C372" s="167"/>
      <c r="D372" s="167"/>
      <c r="E372" s="167"/>
      <c r="F372" s="167"/>
      <c r="G372" s="167"/>
      <c r="H372" s="167"/>
      <c r="I372" s="167"/>
    </row>
    <row r="373">
      <c r="A373" s="167"/>
      <c r="B373" s="167"/>
      <c r="C373" s="167"/>
      <c r="D373" s="167"/>
      <c r="E373" s="167"/>
      <c r="F373" s="167"/>
      <c r="G373" s="167"/>
      <c r="H373" s="167"/>
      <c r="I373" s="167"/>
    </row>
    <row r="374">
      <c r="A374" s="167"/>
      <c r="B374" s="167"/>
      <c r="C374" s="167"/>
      <c r="D374" s="167"/>
      <c r="E374" s="167"/>
      <c r="F374" s="167"/>
      <c r="G374" s="167"/>
      <c r="H374" s="167"/>
      <c r="I374" s="167"/>
    </row>
    <row r="375">
      <c r="A375" s="167"/>
      <c r="B375" s="167"/>
      <c r="C375" s="167"/>
      <c r="D375" s="167"/>
      <c r="E375" s="167"/>
      <c r="F375" s="167"/>
      <c r="G375" s="167"/>
      <c r="H375" s="167"/>
      <c r="I375" s="167"/>
    </row>
    <row r="376">
      <c r="A376" s="167"/>
      <c r="B376" s="167"/>
      <c r="C376" s="167"/>
      <c r="D376" s="167"/>
      <c r="E376" s="167"/>
      <c r="F376" s="167"/>
      <c r="G376" s="167"/>
      <c r="H376" s="167"/>
      <c r="I376" s="167"/>
    </row>
    <row r="377">
      <c r="A377" s="167"/>
      <c r="B377" s="167"/>
      <c r="C377" s="167"/>
      <c r="D377" s="167"/>
      <c r="E377" s="167"/>
      <c r="F377" s="167"/>
      <c r="G377" s="167"/>
      <c r="H377" s="167"/>
      <c r="I377" s="167"/>
    </row>
    <row r="378">
      <c r="A378" s="167"/>
      <c r="B378" s="167"/>
      <c r="C378" s="167"/>
      <c r="D378" s="167"/>
      <c r="E378" s="167"/>
      <c r="F378" s="167"/>
      <c r="G378" s="167"/>
      <c r="H378" s="167"/>
      <c r="I378" s="167"/>
    </row>
    <row r="379">
      <c r="A379" s="167"/>
      <c r="B379" s="167"/>
      <c r="C379" s="167"/>
      <c r="D379" s="167"/>
      <c r="E379" s="167"/>
      <c r="F379" s="167"/>
      <c r="G379" s="167"/>
      <c r="H379" s="167"/>
      <c r="I379" s="167"/>
    </row>
    <row r="380">
      <c r="A380" s="167"/>
      <c r="B380" s="167"/>
      <c r="C380" s="167"/>
      <c r="D380" s="167"/>
      <c r="E380" s="167"/>
      <c r="F380" s="167"/>
      <c r="G380" s="167"/>
      <c r="H380" s="167"/>
      <c r="I380" s="167"/>
    </row>
    <row r="381">
      <c r="A381" s="167"/>
      <c r="B381" s="167"/>
      <c r="C381" s="167"/>
      <c r="D381" s="167"/>
      <c r="E381" s="167"/>
      <c r="F381" s="167"/>
      <c r="G381" s="167"/>
      <c r="H381" s="167"/>
      <c r="I381" s="167"/>
    </row>
    <row r="382">
      <c r="A382" s="167"/>
      <c r="B382" s="167"/>
      <c r="C382" s="167"/>
      <c r="D382" s="167"/>
      <c r="E382" s="167"/>
      <c r="F382" s="167"/>
      <c r="G382" s="167"/>
      <c r="H382" s="167"/>
      <c r="I382" s="167"/>
    </row>
    <row r="383">
      <c r="A383" s="167"/>
      <c r="B383" s="167"/>
      <c r="C383" s="167"/>
      <c r="D383" s="167"/>
      <c r="E383" s="167"/>
      <c r="F383" s="167"/>
      <c r="G383" s="167"/>
      <c r="H383" s="167"/>
      <c r="I383" s="167"/>
    </row>
    <row r="384">
      <c r="A384" s="167"/>
      <c r="B384" s="167"/>
      <c r="C384" s="167"/>
      <c r="D384" s="167"/>
      <c r="E384" s="167"/>
      <c r="F384" s="167"/>
      <c r="G384" s="167"/>
      <c r="H384" s="167"/>
      <c r="I384" s="167"/>
    </row>
    <row r="385">
      <c r="A385" s="167"/>
      <c r="B385" s="167"/>
      <c r="C385" s="167"/>
      <c r="D385" s="167"/>
      <c r="E385" s="167"/>
      <c r="F385" s="167"/>
      <c r="G385" s="167"/>
      <c r="H385" s="167"/>
      <c r="I385" s="167"/>
    </row>
    <row r="386">
      <c r="A386" s="167"/>
      <c r="B386" s="167"/>
      <c r="C386" s="167"/>
      <c r="D386" s="167"/>
      <c r="E386" s="167"/>
      <c r="F386" s="167"/>
      <c r="G386" s="167"/>
      <c r="H386" s="167"/>
      <c r="I386" s="167"/>
    </row>
    <row r="387">
      <c r="A387" s="167"/>
      <c r="B387" s="167"/>
      <c r="C387" s="167"/>
      <c r="D387" s="167"/>
      <c r="E387" s="167"/>
      <c r="F387" s="167"/>
      <c r="G387" s="167"/>
      <c r="H387" s="167"/>
      <c r="I387" s="167"/>
    </row>
    <row r="388">
      <c r="A388" s="167"/>
      <c r="B388" s="167"/>
      <c r="C388" s="167"/>
      <c r="D388" s="167"/>
      <c r="E388" s="167"/>
      <c r="F388" s="167"/>
      <c r="G388" s="167"/>
      <c r="H388" s="167"/>
      <c r="I388" s="167"/>
    </row>
    <row r="389">
      <c r="A389" s="167"/>
      <c r="B389" s="167"/>
      <c r="C389" s="167"/>
      <c r="D389" s="167"/>
      <c r="E389" s="167"/>
      <c r="F389" s="167"/>
      <c r="G389" s="167"/>
      <c r="H389" s="167"/>
      <c r="I389" s="167"/>
    </row>
    <row r="390">
      <c r="A390" s="167"/>
      <c r="B390" s="167"/>
      <c r="C390" s="167"/>
      <c r="D390" s="167"/>
      <c r="E390" s="167"/>
      <c r="F390" s="167"/>
      <c r="G390" s="167"/>
      <c r="H390" s="167"/>
      <c r="I390" s="167"/>
    </row>
    <row r="391">
      <c r="A391" s="167"/>
      <c r="B391" s="167"/>
      <c r="C391" s="167"/>
      <c r="D391" s="167"/>
      <c r="E391" s="167"/>
      <c r="F391" s="167"/>
      <c r="G391" s="167"/>
      <c r="H391" s="167"/>
      <c r="I391" s="167"/>
    </row>
    <row r="392">
      <c r="A392" s="167"/>
      <c r="B392" s="167"/>
      <c r="C392" s="167"/>
      <c r="D392" s="167"/>
      <c r="E392" s="167"/>
      <c r="F392" s="167"/>
      <c r="G392" s="167"/>
      <c r="H392" s="167"/>
      <c r="I392" s="167"/>
    </row>
    <row r="393">
      <c r="A393" s="167"/>
      <c r="B393" s="167"/>
      <c r="C393" s="167"/>
      <c r="D393" s="167"/>
      <c r="E393" s="167"/>
      <c r="F393" s="167"/>
      <c r="G393" s="167"/>
      <c r="H393" s="167"/>
      <c r="I393" s="167"/>
    </row>
    <row r="394">
      <c r="A394" s="167"/>
      <c r="B394" s="167"/>
      <c r="C394" s="167"/>
      <c r="D394" s="167"/>
      <c r="E394" s="167"/>
      <c r="F394" s="167"/>
      <c r="G394" s="167"/>
      <c r="H394" s="167"/>
      <c r="I394" s="167"/>
    </row>
    <row r="395">
      <c r="A395" s="167"/>
      <c r="B395" s="167"/>
      <c r="C395" s="167"/>
      <c r="D395" s="167"/>
      <c r="E395" s="167"/>
      <c r="F395" s="167"/>
      <c r="G395" s="167"/>
      <c r="H395" s="167"/>
      <c r="I395" s="167"/>
    </row>
    <row r="396">
      <c r="A396" s="167"/>
      <c r="B396" s="167"/>
      <c r="C396" s="167"/>
      <c r="D396" s="167"/>
      <c r="E396" s="167"/>
      <c r="F396" s="167"/>
      <c r="G396" s="167"/>
      <c r="H396" s="167"/>
      <c r="I396" s="167"/>
    </row>
    <row r="397">
      <c r="A397" s="167"/>
      <c r="B397" s="167"/>
      <c r="C397" s="167"/>
      <c r="D397" s="167"/>
      <c r="E397" s="167"/>
      <c r="F397" s="167"/>
      <c r="G397" s="167"/>
      <c r="H397" s="167"/>
      <c r="I397" s="167"/>
    </row>
    <row r="398">
      <c r="A398" s="167"/>
      <c r="B398" s="167"/>
      <c r="C398" s="167"/>
      <c r="D398" s="167"/>
      <c r="E398" s="167"/>
      <c r="F398" s="167"/>
      <c r="G398" s="167"/>
      <c r="H398" s="167"/>
      <c r="I398" s="167"/>
    </row>
    <row r="399">
      <c r="A399" s="167"/>
      <c r="B399" s="167"/>
      <c r="C399" s="167"/>
      <c r="D399" s="167"/>
      <c r="E399" s="167"/>
      <c r="F399" s="167"/>
      <c r="G399" s="167"/>
      <c r="H399" s="167"/>
      <c r="I399" s="167"/>
    </row>
    <row r="400">
      <c r="A400" s="167"/>
      <c r="B400" s="167"/>
      <c r="C400" s="167"/>
      <c r="D400" s="167"/>
      <c r="E400" s="167"/>
      <c r="F400" s="167"/>
      <c r="G400" s="167"/>
      <c r="H400" s="167"/>
      <c r="I400" s="167"/>
    </row>
    <row r="401">
      <c r="A401" s="167"/>
      <c r="B401" s="167"/>
      <c r="C401" s="167"/>
      <c r="D401" s="167"/>
      <c r="E401" s="167"/>
      <c r="F401" s="167"/>
      <c r="G401" s="167"/>
      <c r="H401" s="167"/>
      <c r="I401" s="167"/>
    </row>
    <row r="402">
      <c r="A402" s="167"/>
      <c r="B402" s="167"/>
      <c r="C402" s="167"/>
      <c r="D402" s="167"/>
      <c r="E402" s="167"/>
      <c r="F402" s="167"/>
      <c r="G402" s="167"/>
      <c r="H402" s="167"/>
      <c r="I402" s="167"/>
    </row>
    <row r="403">
      <c r="A403" s="167"/>
      <c r="B403" s="167"/>
      <c r="C403" s="167"/>
      <c r="D403" s="167"/>
      <c r="E403" s="167"/>
      <c r="F403" s="167"/>
      <c r="G403" s="167"/>
      <c r="H403" s="167"/>
      <c r="I403" s="167"/>
    </row>
    <row r="404">
      <c r="A404" s="167"/>
      <c r="B404" s="167"/>
      <c r="C404" s="167"/>
      <c r="D404" s="167"/>
      <c r="E404" s="167"/>
      <c r="F404" s="167"/>
      <c r="G404" s="167"/>
      <c r="H404" s="167"/>
      <c r="I404" s="167"/>
    </row>
    <row r="405">
      <c r="A405" s="167"/>
      <c r="B405" s="167"/>
      <c r="C405" s="167"/>
      <c r="D405" s="167"/>
      <c r="E405" s="167"/>
      <c r="F405" s="167"/>
      <c r="G405" s="167"/>
      <c r="H405" s="167"/>
      <c r="I405" s="167"/>
    </row>
    <row r="406">
      <c r="A406" s="167"/>
      <c r="B406" s="167"/>
      <c r="C406" s="167"/>
      <c r="D406" s="167"/>
      <c r="E406" s="167"/>
      <c r="F406" s="167"/>
      <c r="G406" s="167"/>
      <c r="H406" s="167"/>
      <c r="I406" s="167"/>
    </row>
    <row r="407">
      <c r="A407" s="167"/>
      <c r="B407" s="167"/>
      <c r="C407" s="167"/>
      <c r="D407" s="167"/>
      <c r="E407" s="167"/>
      <c r="F407" s="167"/>
      <c r="G407" s="167"/>
      <c r="H407" s="167"/>
      <c r="I407" s="167"/>
    </row>
    <row r="408">
      <c r="A408" s="167"/>
      <c r="B408" s="167"/>
      <c r="C408" s="167"/>
      <c r="D408" s="167"/>
      <c r="E408" s="167"/>
      <c r="F408" s="167"/>
      <c r="G408" s="167"/>
      <c r="H408" s="167"/>
      <c r="I408" s="167"/>
    </row>
    <row r="409">
      <c r="A409" s="167"/>
      <c r="B409" s="167"/>
      <c r="C409" s="167"/>
      <c r="D409" s="167"/>
      <c r="E409" s="167"/>
      <c r="F409" s="167"/>
      <c r="G409" s="167"/>
      <c r="H409" s="167"/>
      <c r="I409" s="167"/>
    </row>
    <row r="410">
      <c r="A410" s="167"/>
      <c r="B410" s="167"/>
      <c r="C410" s="167"/>
      <c r="D410" s="167"/>
      <c r="E410" s="167"/>
      <c r="F410" s="167"/>
      <c r="G410" s="167"/>
      <c r="H410" s="167"/>
      <c r="I410" s="167"/>
    </row>
    <row r="411">
      <c r="A411" s="167"/>
      <c r="B411" s="167"/>
      <c r="C411" s="167"/>
      <c r="D411" s="167"/>
      <c r="E411" s="167"/>
      <c r="F411" s="167"/>
      <c r="G411" s="167"/>
      <c r="H411" s="167"/>
      <c r="I411" s="167"/>
    </row>
    <row r="412">
      <c r="A412" s="167"/>
      <c r="B412" s="167"/>
      <c r="C412" s="167"/>
      <c r="D412" s="167"/>
      <c r="E412" s="167"/>
      <c r="F412" s="167"/>
      <c r="G412" s="167"/>
      <c r="H412" s="167"/>
      <c r="I412" s="167"/>
    </row>
    <row r="413">
      <c r="A413" s="167"/>
      <c r="B413" s="167"/>
      <c r="C413" s="167"/>
      <c r="D413" s="167"/>
      <c r="E413" s="167"/>
      <c r="F413" s="167"/>
      <c r="G413" s="167"/>
      <c r="H413" s="167"/>
      <c r="I413" s="167"/>
    </row>
    <row r="414">
      <c r="A414" s="167"/>
      <c r="B414" s="167"/>
      <c r="C414" s="167"/>
      <c r="D414" s="167"/>
      <c r="E414" s="167"/>
      <c r="F414" s="167"/>
      <c r="G414" s="167"/>
      <c r="H414" s="167"/>
      <c r="I414" s="167"/>
    </row>
    <row r="415">
      <c r="A415" s="167"/>
      <c r="B415" s="167"/>
      <c r="C415" s="167"/>
      <c r="D415" s="167"/>
      <c r="E415" s="167"/>
      <c r="F415" s="167"/>
      <c r="G415" s="167"/>
      <c r="H415" s="167"/>
      <c r="I415" s="167"/>
    </row>
    <row r="416">
      <c r="A416" s="167"/>
      <c r="B416" s="167"/>
      <c r="C416" s="167"/>
      <c r="D416" s="167"/>
      <c r="E416" s="167"/>
      <c r="F416" s="167"/>
      <c r="G416" s="167"/>
      <c r="H416" s="167"/>
      <c r="I416" s="167"/>
    </row>
    <row r="417">
      <c r="A417" s="167"/>
      <c r="B417" s="167"/>
      <c r="C417" s="167"/>
      <c r="D417" s="167"/>
      <c r="E417" s="167"/>
      <c r="F417" s="167"/>
      <c r="G417" s="167"/>
      <c r="H417" s="167"/>
      <c r="I417" s="167"/>
    </row>
    <row r="418">
      <c r="A418" s="167"/>
      <c r="B418" s="167"/>
      <c r="C418" s="167"/>
      <c r="D418" s="167"/>
      <c r="E418" s="167"/>
      <c r="F418" s="167"/>
      <c r="G418" s="167"/>
      <c r="H418" s="167"/>
      <c r="I418" s="167"/>
    </row>
    <row r="419">
      <c r="A419" s="167"/>
      <c r="B419" s="167"/>
      <c r="C419" s="167"/>
      <c r="D419" s="167"/>
      <c r="E419" s="167"/>
      <c r="F419" s="167"/>
      <c r="G419" s="167"/>
      <c r="H419" s="167"/>
      <c r="I419" s="167"/>
    </row>
    <row r="420">
      <c r="A420" s="167"/>
      <c r="B420" s="167"/>
      <c r="C420" s="167"/>
      <c r="D420" s="167"/>
      <c r="E420" s="167"/>
      <c r="F420" s="167"/>
      <c r="G420" s="167"/>
      <c r="H420" s="167"/>
      <c r="I420" s="167"/>
    </row>
    <row r="421">
      <c r="A421" s="167"/>
      <c r="B421" s="167"/>
      <c r="C421" s="167"/>
      <c r="D421" s="167"/>
      <c r="E421" s="167"/>
      <c r="F421" s="167"/>
      <c r="G421" s="167"/>
      <c r="H421" s="167"/>
      <c r="I421" s="167"/>
    </row>
    <row r="422">
      <c r="A422" s="167"/>
      <c r="B422" s="167"/>
      <c r="C422" s="167"/>
      <c r="D422" s="167"/>
      <c r="E422" s="167"/>
      <c r="F422" s="167"/>
      <c r="G422" s="167"/>
      <c r="H422" s="167"/>
      <c r="I422" s="167"/>
    </row>
    <row r="423">
      <c r="A423" s="167"/>
      <c r="B423" s="167"/>
      <c r="C423" s="167"/>
      <c r="D423" s="167"/>
      <c r="E423" s="167"/>
      <c r="F423" s="167"/>
      <c r="G423" s="167"/>
      <c r="H423" s="167"/>
      <c r="I423" s="167"/>
    </row>
    <row r="424">
      <c r="A424" s="167"/>
      <c r="B424" s="167"/>
      <c r="C424" s="167"/>
      <c r="D424" s="167"/>
      <c r="E424" s="167"/>
      <c r="F424" s="167"/>
      <c r="G424" s="167"/>
      <c r="H424" s="167"/>
      <c r="I424" s="167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</row>
    <row r="963">
      <c r="A963" s="167"/>
      <c r="B963" s="167"/>
      <c r="C963" s="167"/>
      <c r="D963" s="167"/>
      <c r="E963" s="167"/>
      <c r="F963" s="167"/>
      <c r="G963" s="167"/>
      <c r="H963" s="167"/>
      <c r="I963" s="167"/>
    </row>
    <row r="964">
      <c r="A964" s="167"/>
      <c r="B964" s="167"/>
      <c r="C964" s="167"/>
      <c r="D964" s="167"/>
      <c r="E964" s="167"/>
      <c r="F964" s="167"/>
      <c r="G964" s="167"/>
      <c r="H964" s="167"/>
      <c r="I964" s="167"/>
    </row>
    <row r="965">
      <c r="A965" s="167"/>
      <c r="B965" s="167"/>
      <c r="C965" s="167"/>
      <c r="D965" s="167"/>
      <c r="E965" s="167"/>
      <c r="F965" s="167"/>
      <c r="G965" s="167"/>
      <c r="H965" s="167"/>
      <c r="I965" s="167"/>
    </row>
    <row r="966">
      <c r="A966" s="167"/>
      <c r="B966" s="167"/>
      <c r="C966" s="167"/>
      <c r="D966" s="167"/>
      <c r="E966" s="167"/>
      <c r="F966" s="167"/>
      <c r="G966" s="167"/>
      <c r="H966" s="167"/>
      <c r="I966" s="167"/>
    </row>
    <row r="967">
      <c r="A967" s="167"/>
      <c r="B967" s="167"/>
      <c r="C967" s="167"/>
      <c r="D967" s="167"/>
      <c r="E967" s="167"/>
      <c r="F967" s="167"/>
      <c r="G967" s="167"/>
      <c r="H967" s="167"/>
      <c r="I967" s="167"/>
    </row>
  </sheetData>
  <mergeCells count="57"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A7:H7"/>
    <mergeCell ref="C8:H8"/>
    <mergeCell ref="A1:I2"/>
    <mergeCell ref="A3:I3"/>
    <mergeCell ref="A4:I4"/>
    <mergeCell ref="A5:I5"/>
    <mergeCell ref="A6:B6"/>
    <mergeCell ref="C6:I6"/>
    <mergeCell ref="C33:H33"/>
    <mergeCell ref="C48:H48"/>
    <mergeCell ref="C49:H49"/>
    <mergeCell ref="C41:H41"/>
    <mergeCell ref="C42:H42"/>
    <mergeCell ref="C43:H43"/>
    <mergeCell ref="C44:H44"/>
    <mergeCell ref="C45:H45"/>
    <mergeCell ref="C46:H46"/>
    <mergeCell ref="C47:H47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A8:A33"/>
    <mergeCell ref="A34:A43"/>
    <mergeCell ref="A44:A54"/>
    <mergeCell ref="C50:H50"/>
    <mergeCell ref="C51:H51"/>
    <mergeCell ref="C52:H52"/>
    <mergeCell ref="C53:H53"/>
    <mergeCell ref="C54:H54"/>
    <mergeCell ref="C34:H34"/>
    <mergeCell ref="C35:H35"/>
    <mergeCell ref="C36:H36"/>
    <mergeCell ref="C37:H37"/>
    <mergeCell ref="C38:H38"/>
    <mergeCell ref="C39:H39"/>
    <mergeCell ref="C40:H40"/>
  </mergeCells>
  <hyperlinks>
    <hyperlink r:id="rId1" ref="C53"/>
  </hyperlinks>
  <printOptions horizontalCentered="1"/>
  <pageMargins bottom="0.75" footer="0.0" header="0.0" left="0.7" right="0.7" top="0.75"/>
  <pageSetup fitToWidth="0" paperSize="9" cellComments="atEnd" orientation="portrait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23">
        <v>1.0</v>
      </c>
      <c r="B1" s="23" t="s">
        <v>389</v>
      </c>
    </row>
    <row r="2">
      <c r="B2" s="7" t="s">
        <v>390</v>
      </c>
    </row>
    <row r="3">
      <c r="B3" s="23" t="s">
        <v>391</v>
      </c>
    </row>
    <row r="4">
      <c r="B4" s="23" t="s">
        <v>392</v>
      </c>
    </row>
    <row r="5">
      <c r="B5" s="23" t="s">
        <v>393</v>
      </c>
    </row>
    <row r="6">
      <c r="B6" s="23" t="s">
        <v>394</v>
      </c>
    </row>
    <row r="7">
      <c r="B7" s="23" t="s">
        <v>395</v>
      </c>
    </row>
    <row r="8">
      <c r="B8" s="23" t="s">
        <v>396</v>
      </c>
    </row>
    <row r="9">
      <c r="B9" s="172" t="s">
        <v>397</v>
      </c>
    </row>
    <row r="10">
      <c r="B10" s="172" t="s">
        <v>398</v>
      </c>
    </row>
    <row r="11">
      <c r="B11" s="23" t="s">
        <v>399</v>
      </c>
    </row>
    <row r="12">
      <c r="B12" s="23" t="s">
        <v>400</v>
      </c>
    </row>
    <row r="13">
      <c r="B13" s="23" t="s">
        <v>401</v>
      </c>
    </row>
    <row r="14">
      <c r="B14" s="23" t="s">
        <v>402</v>
      </c>
    </row>
  </sheetData>
  <mergeCells count="23">
    <mergeCell ref="B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22:I22"/>
    <mergeCell ref="B23:I23"/>
    <mergeCell ref="B15:I15"/>
    <mergeCell ref="B16:I16"/>
    <mergeCell ref="B17:I17"/>
    <mergeCell ref="B18:I18"/>
    <mergeCell ref="B19:I19"/>
    <mergeCell ref="B20:I20"/>
    <mergeCell ref="B21:I21"/>
  </mergeCells>
  <hyperlinks>
    <hyperlink r:id="rId1" ref="B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8.5"/>
    <col customWidth="1" min="4" max="4" width="29.5"/>
    <col customWidth="1" min="5" max="5" width="26.0"/>
  </cols>
  <sheetData>
    <row r="1">
      <c r="A1" s="173" t="s">
        <v>403</v>
      </c>
      <c r="B1" s="174" t="s">
        <v>404</v>
      </c>
      <c r="C1" s="174" t="s">
        <v>405</v>
      </c>
      <c r="D1" s="174" t="s">
        <v>406</v>
      </c>
      <c r="E1" s="175" t="s">
        <v>407</v>
      </c>
    </row>
    <row r="2">
      <c r="A2" s="176" t="s">
        <v>408</v>
      </c>
      <c r="B2" s="23" t="s">
        <v>409</v>
      </c>
      <c r="C2" s="23" t="s">
        <v>410</v>
      </c>
      <c r="D2" s="7" t="s">
        <v>411</v>
      </c>
      <c r="E2" s="7" t="s">
        <v>412</v>
      </c>
    </row>
    <row r="3">
      <c r="A3" s="177" t="s">
        <v>413</v>
      </c>
      <c r="B3" s="178" t="s">
        <v>414</v>
      </c>
      <c r="C3" s="23" t="s">
        <v>415</v>
      </c>
      <c r="D3" s="177" t="s">
        <v>416</v>
      </c>
      <c r="E3" s="177" t="s">
        <v>417</v>
      </c>
    </row>
    <row r="4">
      <c r="C4" s="23" t="s">
        <v>418</v>
      </c>
    </row>
    <row r="5">
      <c r="B5" s="23" t="s">
        <v>419</v>
      </c>
      <c r="C5" s="23" t="s">
        <v>420</v>
      </c>
    </row>
    <row r="6">
      <c r="B6" s="23" t="s">
        <v>421</v>
      </c>
      <c r="C6" s="179" t="s">
        <v>422</v>
      </c>
      <c r="D6" s="180"/>
      <c r="E6" s="180"/>
      <c r="F6" s="180"/>
      <c r="G6" s="180"/>
      <c r="H6" s="180"/>
    </row>
    <row r="7">
      <c r="B7" s="23" t="s">
        <v>423</v>
      </c>
      <c r="C7" s="180" t="s">
        <v>424</v>
      </c>
      <c r="D7" s="180"/>
      <c r="E7" s="180"/>
      <c r="F7" s="180"/>
      <c r="G7" s="180"/>
      <c r="H7" s="180"/>
    </row>
    <row r="8">
      <c r="B8" s="23" t="s">
        <v>425</v>
      </c>
      <c r="C8" s="23" t="s">
        <v>426</v>
      </c>
    </row>
    <row r="9">
      <c r="B9" s="23" t="s">
        <v>427</v>
      </c>
      <c r="C9" s="23" t="s">
        <v>428</v>
      </c>
    </row>
    <row r="10">
      <c r="B10" s="23" t="s">
        <v>429</v>
      </c>
      <c r="C10" s="23" t="s">
        <v>430</v>
      </c>
    </row>
  </sheetData>
  <mergeCells count="4">
    <mergeCell ref="A3:A4"/>
    <mergeCell ref="B3:B4"/>
    <mergeCell ref="D3:D4"/>
    <mergeCell ref="E3:E4"/>
  </mergeCells>
  <hyperlinks>
    <hyperlink r:id="rId1" ref="A2"/>
    <hyperlink r:id="rId2" ref="D2"/>
    <hyperlink r:id="rId3" ref="E2"/>
    <hyperlink r:id="rId4" ref="A3"/>
    <hyperlink r:id="rId5" ref="D3"/>
    <hyperlink r:id="rId6" ref="E3"/>
  </hyperlinks>
  <drawing r:id="rId7"/>
</worksheet>
</file>